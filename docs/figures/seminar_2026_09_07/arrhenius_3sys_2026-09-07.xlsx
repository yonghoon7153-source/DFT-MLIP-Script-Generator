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_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FitLines" sheetId="3" state="visible" r:id="rId3"/>
    <sheet xmlns:r="http://schemas.openxmlformats.org/officeDocument/2006/relationships" name="RT_extrapolation" sheetId="4" state="visible" r:id="rId4"/>
    <sheet xmlns:r="http://schemas.openxmlformats.org/officeDocument/2006/relationships" name="Param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00E+00"/>
    <numFmt numFmtId="165" formatCode="0.000E+00"/>
    <numFmt numFmtId="166" formatCode="0.0000E+00"/>
    <numFmt numFmtId="167" formatCode="0.0000"/>
    <numFmt numFmtId="168" formatCode="0.0"/>
    <numFmt numFmtId="169" formatCode="0.000"/>
    <numFmt numFmtId="170" formatCode="0.0&quot;배&quot;"/>
  </numFmts>
  <fonts count="10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B91C1C"/>
      <sz val="10"/>
    </font>
    <font>
      <name val="Arial"/>
      <i val="1"/>
      <sz val="9"/>
    </font>
    <font>
      <name val="Arial"/>
      <b val="1"/>
      <sz val="12"/>
    </font>
    <font>
      <name val="Arial"/>
      <b val="1"/>
      <sz val="13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4" fillId="2" borderId="1" applyAlignment="1" pivotButton="0" quotePrefix="0" xfId="0">
      <alignment horizontal="center" wrapText="1"/>
    </xf>
    <xf numFmtId="0" fontId="2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166" fontId="3" fillId="0" borderId="1" pivotButton="0" quotePrefix="0" xfId="0"/>
    <xf numFmtId="167" fontId="5" fillId="0" borderId="1" pivotButton="0" quotePrefix="0" xfId="0"/>
    <xf numFmtId="165" fontId="3" fillId="0" borderId="1" pivotButton="0" quotePrefix="0" xfId="0"/>
    <xf numFmtId="168" fontId="5" fillId="0" borderId="1" pivotButton="0" quotePrefix="0" xfId="0"/>
    <xf numFmtId="0" fontId="6" fillId="0" borderId="1" pivotButton="0" quotePrefix="0" xfId="0"/>
    <xf numFmtId="0" fontId="8" fillId="0" borderId="0" pivotButton="0" quotePrefix="0" xfId="0"/>
    <xf numFmtId="169" fontId="5" fillId="0" borderId="1" pivotButton="0" quotePrefix="0" xfId="0"/>
    <xf numFmtId="165" fontId="5" fillId="0" borderId="1" pivotButton="0" quotePrefix="0" xfId="0"/>
    <xf numFmtId="2" fontId="5" fillId="0" borderId="1" pivotButton="0" quotePrefix="0" xfId="0"/>
    <xf numFmtId="170" fontId="5" fillId="0" borderId="1" pivotButton="0" quotePrefix="0" xfId="0"/>
    <xf numFmtId="164" fontId="3" fillId="0" borderId="0" pivotButton="0" quotePrefix="0" xfId="0"/>
    <xf numFmtId="0" fontId="3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Arrhenius — LPSCl1.6 / LPSOCl1.6 / B2O3@LPSCl1.6   (2026-09-07)</t>
        </is>
      </c>
    </row>
    <row r="2">
      <c r="A2" s="2" t="inlineStr"/>
    </row>
    <row r="3">
      <c r="A3" s="3" t="inlineStr">
        <is>
          <t>■ 시트 안내</t>
        </is>
      </c>
    </row>
    <row r="4">
      <c r="A4" s="2" t="inlineStr">
        <is>
          <t>Params            : 적합 파라미터. 파란 글씨만 입력이고 나머지는 수식 — Ea 를 바꾸면 다른 시트가 따라 움직입니다.</t>
        </is>
      </c>
    </row>
    <row r="5">
      <c r="A5" s="2" t="inlineStr">
        <is>
          <t>Data              : 측정점 9개 (3계 × 600/800/1000 K). sigma 는 D 에서 계산된 수식입니다.</t>
        </is>
      </c>
    </row>
    <row r="6">
      <c r="A6" s="2" t="inlineStr">
        <is>
          <t>FitLines          : 그림의 직선. 1000/T 를 x, lnD_* 를 y 로 그리세요. '구간' 열이 측정/외삽을 갈라 줍니다.</t>
        </is>
      </c>
    </row>
    <row r="7">
      <c r="A7" s="2" t="inlineStr">
        <is>
          <t>RT_extrapolation  : 300 K 외삽값 + Ea 오차 밴드.</t>
        </is>
      </c>
    </row>
    <row r="8">
      <c r="A8" s="2" t="inlineStr"/>
    </row>
    <row r="9">
      <c r="A9" s="3" t="inlineStr">
        <is>
          <t>■ sigma 와 Ea 는 서로 다른 층위입니다</t>
        </is>
      </c>
    </row>
    <row r="10">
      <c r="A10" s="4" t="inlineStr">
        <is>
          <t>⚠ 2026-09-07 정정: 저희가 종전에 sigma 를 'NE upper bound' 라고 적었는데 **부호가 틀렸습니다.**</t>
        </is>
      </c>
    </row>
    <row r="11">
      <c r="A11" s="4" t="inlineStr">
        <is>
          <t xml:space="preserve">   H_R = D*/D_sigma 이고 MD 는 D*(tracer) 를 주므로 sigma_NE = H_R x sigma_true 입니다. H_R&lt;1 이면 과소입니다.</t>
        </is>
      </c>
    </row>
    <row r="12">
      <c r="A12" s="2" t="inlineStr">
        <is>
          <t xml:space="preserve">   저희 궤적에서 직접 쟀더니 H_R ~ 0.84 (600-1200 K, 6 계·온도점) — 보정 크기가 +19 % 라 이 파일에는</t>
        </is>
      </c>
    </row>
    <row r="13">
      <c r="A13" s="2" t="inlineStr">
        <is>
          <t xml:space="preserve">   적용하지 않았습니다(외삽 밴드 12배 안에 잠깁니다). 문헌값 H_R=0.23 은 300 K 다결정 펠릿 조건이라</t>
        </is>
      </c>
    </row>
    <row r="14">
      <c r="A14" s="2" t="inlineStr">
        <is>
          <t xml:space="preserve">   이 MD 값에 곱하면 안 됩니다.</t>
        </is>
      </c>
    </row>
    <row r="15">
      <c r="A15" s="2" t="inlineStr"/>
    </row>
    <row r="16">
      <c r="A16" s="3" t="inlineStr">
        <is>
          <t>■ 실험 펠릿값(3.3~10.8 mS/cm)보다 높게 나오는 이유</t>
        </is>
      </c>
    </row>
    <row r="17">
      <c r="A17" s="4" t="inlineStr">
        <is>
          <t>1) 저온 외삽. 적합 구간은 1000/T = 1.00~1.67(600~1000 K)이고 300 K 는 3.33 — 측정 끝점의 2배 지점입니다.</t>
        </is>
      </c>
    </row>
    <row r="18">
      <c r="A18" s="4" t="inlineStr">
        <is>
          <t xml:space="preserve">   Ea 오차막대(±1σ)만 넣어도 sigma(300 K) 가 12배 벌어집니다. 대부분의 격차가 이 밴드에 잠깁니다.</t>
        </is>
      </c>
    </row>
    <row r="19">
      <c r="A19" s="2" t="inlineStr">
        <is>
          <t>2) D* 자체가 높습니다. 우리 D*(300 K) 외삽 2.31e-7 vs Adeli 7Li PFG 실측 1.01e-7 cm^2/s — 2.3배.</t>
        </is>
      </c>
    </row>
    <row r="20">
      <c r="A20" s="2" t="inlineStr">
        <is>
          <t xml:space="preserve">   (단일시드 한 궤적만 쓰면 1.02e-7 로 거의 일치하지만 3시드 평균이 아니라 인용하지 않습니다.)</t>
        </is>
      </c>
    </row>
    <row r="21">
      <c r="A21" s="2" t="inlineStr">
        <is>
          <t>3) 입계·기공이 없음. MD 는 순수 bulk 단결정, 실험 EIS 는 냉간압축 펠릿(GB + 잔류 기공)입니다.</t>
        </is>
      </c>
    </row>
    <row r="22">
      <c r="A22" s="2" t="inlineStr">
        <is>
          <t>4) S/Cl disorder 정도. argyrodite 는 여기 극단적으로 민감합니다 — Ou et al., Phys. Rev. Mater. 8,</t>
        </is>
      </c>
    </row>
    <row r="23">
      <c r="A23" s="2" t="inlineStr">
        <is>
          <t xml:space="preserve">   115407 (2024): ordered 0.2 vs 50% disordered 29.8 mS/cm, 150배. 셀 배치가 실제 시료와 같은지는 별도 확인.</t>
        </is>
      </c>
    </row>
    <row r="24">
      <c r="A24" s="4" t="inlineStr">
        <is>
          <t>⇒ Haven 은 이 목록에 없습니다 — 위에서 보듯 +19 % 이고 방향도 반대(격차를 넓힙니다).</t>
        </is>
      </c>
    </row>
    <row r="25">
      <c r="A25" s="2" t="inlineStr">
        <is>
          <t>sigma(T) = n · e² · D(T) / (k_B · T)    ← 그 온도의 D 하나만 씁니다. 다른 온도 정보가 안 들어갑니다.</t>
        </is>
      </c>
    </row>
    <row r="26">
      <c r="A26" s="2" t="inlineStr">
        <is>
          <t>Ea       = ln D vs 1/T 직선의 기울기     ← 세 점 전부를 써서 계마다 하나 나옵니다.</t>
        </is>
      </c>
    </row>
    <row r="27">
      <c r="A27" s="4" t="inlineStr">
        <is>
          <t>⚠ sigma 를 Arrhenius 로 그릴 때는 sigma 가 아니라 sigma×T 를 세로축에 두세요.</t>
        </is>
      </c>
    </row>
    <row r="28">
      <c r="A28" s="2" t="inlineStr">
        <is>
          <t xml:space="preserve">   1/T 인자 때문에 ln(sigma) 기울기가 ln(D) 기울기보다 0.065 eV 낮게 나옵니다 (우리 데이터 실측).</t>
        </is>
      </c>
    </row>
    <row r="29">
      <c r="A29" s="2" t="inlineStr"/>
    </row>
    <row r="30">
      <c r="A30" s="3" t="inlineStr">
        <is>
          <t>■ 300 K 외삽에 대하여</t>
        </is>
      </c>
    </row>
    <row r="31">
      <c r="A31" s="2" t="inlineStr">
        <is>
          <t>요청하신 값은 RT_extrapolation 시트에 넣었습니다. 다만 아래를 같이 봐 주세요:</t>
        </is>
      </c>
    </row>
    <row r="32">
      <c r="A32" s="4" t="inlineStr">
        <is>
          <t>· 외삽 거리 — 적합 구간은 1000/T = 1.00~1.67. 300 K 는 3.33 으로 측정 끝점의 **2배 지점**입니다.</t>
        </is>
      </c>
    </row>
    <row r="33">
      <c r="A33" s="4" t="inlineStr">
        <is>
          <t>· Ea 오차막대만 넣어도 sigma(300 K) 가 6~14배 벌어집니다 (그 시트의 밴드).</t>
        </is>
      </c>
    </row>
    <row r="34">
      <c r="A34" s="4" t="inlineStr">
        <is>
          <t>· B2O3 는 직선이 아니고(구간 Ea 0.151 vs 0.294 eV) 이 축은 2026-08-25 철회됐습니다.</t>
        </is>
      </c>
    </row>
    <row r="35">
      <c r="A35" s="4" t="inlineStr">
        <is>
          <t>⇒ 내부 감각·비교용으로는 쓰실 수 있지만, 논문·발표 수치로는 인용하지 말아 주세요.</t>
        </is>
      </c>
    </row>
    <row r="36">
      <c r="A36" s="2" t="inlineStr"/>
    </row>
    <row r="37">
      <c r="A37" s="3" t="inlineStr">
        <is>
          <t>■ 인용 규칙</t>
        </is>
      </c>
    </row>
    <row r="38">
      <c r="A38" s="2" t="inlineStr">
        <is>
          <t>허용 : Ea 값과 오차막대 · 같은 프로토콜 안에서의 계 간 상대 비교 · MSD 곡선 모양</t>
        </is>
      </c>
    </row>
    <row r="39">
      <c r="A39" s="4" t="inlineStr">
        <is>
          <t>금지 : sigma 절대값 · 300 K 외삽 · B2O3 의 D/Ea/sigma(철회) · 다른 프로토콜 값과 한 표에 놓기</t>
        </is>
      </c>
    </row>
    <row r="40">
      <c r="A40" s="2" t="inlineStr"/>
    </row>
    <row r="41">
      <c r="A41" s="3" t="inlineStr">
        <is>
          <t>■ 프로토콜 세대</t>
        </is>
      </c>
    </row>
    <row r="42">
      <c r="A42" s="2" t="inlineStr">
        <is>
          <t>Predates the 2026-08 MTO / trajectory-retention / 4-window standard. Ea values are protocol-conditioned; not comparable to the 400 ps campaign.</t>
        </is>
      </c>
    </row>
    <row r="43">
      <c r="A43" s="2" t="inlineStr">
        <is>
          <t>(UMA-s-1p1 omat · Langevin NVT dt 2 fs · MSD 창 2-50 ps 자유절편)</t>
        </is>
      </c>
    </row>
    <row r="44">
      <c r="A44" s="4" t="inlineStr">
        <is>
          <t>⚠ 생산 길이가 온도마다 다릅니다: 600 K = 200 ps, 800/1000 K = 100 ps. 즉 800/1000 K 는 창(2-50 ps)이</t>
        </is>
      </c>
    </row>
    <row r="45">
      <c r="A45" s="4" t="inlineStr">
        <is>
          <t xml:space="preserve">   궤적의 절반입니다. 온도 간 D 를 비교할 때 이 비대칭을 같이 봐 주세요.</t>
        </is>
      </c>
    </row>
    <row r="46">
      <c r="A46" s="2" t="inlineStr">
        <is>
          <t>LPSCl1.6 / B2O3 = 3 seeds × 3 T (2026-07-07) · LPSOCl1.6 = 4 seeds × 3 T (2026-07-27)</t>
        </is>
      </c>
    </row>
    <row r="47">
      <c r="A47" s="2" t="inlineStr"/>
    </row>
    <row r="48">
      <c r="A48" s="2" t="inlineStr">
        <is>
          <t>원자료 : db/properties/b2o3_vs_lpscl16_conductivity.csv · lpsocl_md_arrhenius.json</t>
        </is>
      </c>
    </row>
    <row r="49">
      <c r="A49" s="2" t="inlineStr">
        <is>
          <t>설명   : kb/concepts/msd_reading.md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3" customWidth="1" min="4" max="4"/>
    <col width="11" customWidth="1" min="5" max="5"/>
    <col width="13" customWidth="1" min="6" max="6"/>
    <col width="13" customWidth="1" min="7" max="7"/>
    <col width="22" customWidth="1" min="8" max="8"/>
  </cols>
  <sheetData>
    <row r="1">
      <c r="A1" s="5" t="inlineStr">
        <is>
          <t>system</t>
        </is>
      </c>
      <c r="B1" s="5" t="inlineStr">
        <is>
          <t>T_K</t>
        </is>
      </c>
      <c r="C1" s="5" t="inlineStr">
        <is>
          <t>1000/T [1/K]</t>
        </is>
      </c>
      <c r="D1" s="5" t="inlineStr">
        <is>
          <t>D_cm2_s</t>
        </is>
      </c>
      <c r="E1" s="5" t="inlineStr">
        <is>
          <t>ln D</t>
        </is>
      </c>
      <c r="F1" s="5" t="inlineStr">
        <is>
          <t>n_Li_cm-3</t>
        </is>
      </c>
      <c r="G1" s="5" t="inlineStr">
        <is>
          <t>sigma_mS/cm</t>
        </is>
      </c>
      <c r="H1" s="5" t="inlineStr">
        <is>
          <t>status</t>
        </is>
      </c>
    </row>
    <row r="2">
      <c r="A2" s="6" t="inlineStr">
        <is>
          <t>LPSCl1.6</t>
        </is>
      </c>
      <c r="B2" s="7" t="n">
        <v>600</v>
      </c>
      <c r="C2" s="8">
        <f>1000/B2</f>
        <v/>
      </c>
      <c r="D2" s="9" t="n">
        <v>1.037e-05</v>
      </c>
      <c r="E2" s="10">
        <f>LN(D2)</f>
        <v/>
      </c>
      <c r="F2" s="11" t="n">
        <v>2.22e+22</v>
      </c>
      <c r="G2" s="12">
        <f>1000*F2*Params!$B$2^2*D2/(Params!$B$3*B2)</f>
        <v/>
      </c>
      <c r="H2" s="6" t="inlineStr">
        <is>
          <t>baseline</t>
        </is>
      </c>
    </row>
    <row r="3">
      <c r="A3" s="6" t="inlineStr">
        <is>
          <t>LPSCl1.6</t>
        </is>
      </c>
      <c r="B3" s="7" t="n">
        <v>800</v>
      </c>
      <c r="C3" s="8">
        <f>1000/B3</f>
        <v/>
      </c>
      <c r="D3" s="9" t="n">
        <v>2.845e-05</v>
      </c>
      <c r="E3" s="10">
        <f>LN(D3)</f>
        <v/>
      </c>
      <c r="F3" s="11" t="n">
        <v>2.22e+22</v>
      </c>
      <c r="G3" s="12">
        <f>1000*F3*Params!$B$2^2*D3/(Params!$B$3*B3)</f>
        <v/>
      </c>
      <c r="H3" s="6" t="inlineStr">
        <is>
          <t>baseline</t>
        </is>
      </c>
    </row>
    <row r="4">
      <c r="A4" s="6" t="inlineStr">
        <is>
          <t>LPSCl1.6</t>
        </is>
      </c>
      <c r="B4" s="7" t="n">
        <v>1000</v>
      </c>
      <c r="C4" s="8">
        <f>1000/B4</f>
        <v/>
      </c>
      <c r="D4" s="9" t="n">
        <v>4.728e-05</v>
      </c>
      <c r="E4" s="10">
        <f>LN(D4)</f>
        <v/>
      </c>
      <c r="F4" s="11" t="n">
        <v>2.22e+22</v>
      </c>
      <c r="G4" s="12">
        <f>1000*F4*Params!$B$2^2*D4/(Params!$B$3*B4)</f>
        <v/>
      </c>
      <c r="H4" s="6" t="inlineStr">
        <is>
          <t>baseline</t>
        </is>
      </c>
    </row>
    <row r="5">
      <c r="A5" s="6" t="inlineStr">
        <is>
          <t>LPSOCl1.6</t>
        </is>
      </c>
      <c r="B5" s="7" t="n">
        <v>600</v>
      </c>
      <c r="C5" s="8">
        <f>1000/B5</f>
        <v/>
      </c>
      <c r="D5" s="9" t="n">
        <v>6.2705e-06</v>
      </c>
      <c r="E5" s="10">
        <f>LN(D5)</f>
        <v/>
      </c>
      <c r="F5" s="11" t="n">
        <v>2.242e+22</v>
      </c>
      <c r="G5" s="12">
        <f>1000*F5*Params!$B$2^2*D5/(Params!$B$3*B5)</f>
        <v/>
      </c>
      <c r="H5" s="6" t="inlineStr">
        <is>
          <t>baseline</t>
        </is>
      </c>
    </row>
    <row r="6">
      <c r="A6" s="6" t="inlineStr">
        <is>
          <t>LPSOCl1.6</t>
        </is>
      </c>
      <c r="B6" s="7" t="n">
        <v>800</v>
      </c>
      <c r="C6" s="8">
        <f>1000/B6</f>
        <v/>
      </c>
      <c r="D6" s="9" t="n">
        <v>2.4162e-05</v>
      </c>
      <c r="E6" s="10">
        <f>LN(D6)</f>
        <v/>
      </c>
      <c r="F6" s="11" t="n">
        <v>2.242e+22</v>
      </c>
      <c r="G6" s="12">
        <f>1000*F6*Params!$B$2^2*D6/(Params!$B$3*B6)</f>
        <v/>
      </c>
      <c r="H6" s="6" t="inlineStr">
        <is>
          <t>baseline</t>
        </is>
      </c>
    </row>
    <row r="7">
      <c r="A7" s="6" t="inlineStr">
        <is>
          <t>LPSOCl1.6</t>
        </is>
      </c>
      <c r="B7" s="7" t="n">
        <v>1000</v>
      </c>
      <c r="C7" s="8">
        <f>1000/B7</f>
        <v/>
      </c>
      <c r="D7" s="9" t="n">
        <v>5.7093e-05</v>
      </c>
      <c r="E7" s="10">
        <f>LN(D7)</f>
        <v/>
      </c>
      <c r="F7" s="11" t="n">
        <v>2.242e+22</v>
      </c>
      <c r="G7" s="12">
        <f>1000*F7*Params!$B$2^2*D7/(Params!$B$3*B7)</f>
        <v/>
      </c>
      <c r="H7" s="6" t="inlineStr">
        <is>
          <t>baseline</t>
        </is>
      </c>
    </row>
    <row r="8">
      <c r="A8" s="6" t="inlineStr">
        <is>
          <t>B2O3@LPSCl1.6</t>
        </is>
      </c>
      <c r="B8" s="7" t="n">
        <v>600</v>
      </c>
      <c r="C8" s="8">
        <f>1000/B8</f>
        <v/>
      </c>
      <c r="D8" s="9" t="n">
        <v>1.041e-05</v>
      </c>
      <c r="E8" s="10">
        <f>LN(D8)</f>
        <v/>
      </c>
      <c r="F8" s="11" t="n">
        <v>2.381e+22</v>
      </c>
      <c r="G8" s="12">
        <f>1000*F8*Params!$B$2^2*D8/(Params!$B$3*B8)</f>
        <v/>
      </c>
      <c r="H8" s="13" t="inlineStr">
        <is>
          <t>RETRACTED 2026-08-25</t>
        </is>
      </c>
    </row>
    <row r="9">
      <c r="A9" s="6" t="inlineStr">
        <is>
          <t>B2O3@LPSCl1.6</t>
        </is>
      </c>
      <c r="B9" s="7" t="n">
        <v>800</v>
      </c>
      <c r="C9" s="8">
        <f>1000/B9</f>
        <v/>
      </c>
      <c r="D9" s="9" t="n">
        <v>2.163e-05</v>
      </c>
      <c r="E9" s="10">
        <f>LN(D9)</f>
        <v/>
      </c>
      <c r="F9" s="11" t="n">
        <v>2.381e+22</v>
      </c>
      <c r="G9" s="12">
        <f>1000*F9*Params!$B$2^2*D9/(Params!$B$3*B9)</f>
        <v/>
      </c>
      <c r="H9" s="13" t="inlineStr">
        <is>
          <t>RETRACTED 2026-08-25</t>
        </is>
      </c>
    </row>
    <row r="10">
      <c r="A10" s="6" t="inlineStr">
        <is>
          <t>B2O3@LPSCl1.6</t>
        </is>
      </c>
      <c r="B10" s="7" t="n">
        <v>1000</v>
      </c>
      <c r="C10" s="8">
        <f>1000/B10</f>
        <v/>
      </c>
      <c r="D10" s="9" t="n">
        <v>5.081e-05</v>
      </c>
      <c r="E10" s="10">
        <f>LN(D10)</f>
        <v/>
      </c>
      <c r="F10" s="11" t="n">
        <v>2.381e+22</v>
      </c>
      <c r="G10" s="12">
        <f>1000*F10*Params!$B$2^2*D10/(Params!$B$3*B10)</f>
        <v/>
      </c>
      <c r="H10" s="13" t="inlineStr">
        <is>
          <t>RETRACTED 2026-08-25</t>
        </is>
      </c>
    </row>
    <row r="12">
      <c r="A12" s="4" t="inlineStr">
        <is>
          <t>⚠ sigma 는 Haven ratio H_R=1 을 **가정**한 값입니다 — 상한이 아닙니다. READ_ME 참조.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3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15" customWidth="1" min="3" max="3"/>
    <col width="16" customWidth="1" min="4" max="4"/>
    <col width="21" customWidth="1" min="5" max="5"/>
    <col width="26" customWidth="1" min="6" max="6"/>
  </cols>
  <sheetData>
    <row r="1">
      <c r="A1" s="5" t="inlineStr">
        <is>
          <t>1000/T [1/K]</t>
        </is>
      </c>
      <c r="B1" s="5" t="inlineStr">
        <is>
          <t>T_K</t>
        </is>
      </c>
      <c r="C1" s="5" t="inlineStr">
        <is>
          <t>lnD_LPSCl1.6</t>
        </is>
      </c>
      <c r="D1" s="5" t="inlineStr">
        <is>
          <t>lnD_LPSOCl1.6</t>
        </is>
      </c>
      <c r="E1" s="5" t="inlineStr">
        <is>
          <t>lnD_B2O3 (RETRACTED)</t>
        </is>
      </c>
      <c r="F1" s="5" t="inlineStr">
        <is>
          <t>구간</t>
        </is>
      </c>
    </row>
    <row r="2">
      <c r="A2" s="7" t="n">
        <v>0.95</v>
      </c>
      <c r="B2" s="12">
        <f>1000/A2</f>
        <v/>
      </c>
      <c r="C2" s="10">
        <f>Params!$E$8-(Params!$D$8/Params!$B$4)*(A2/1000)</f>
        <v/>
      </c>
      <c r="D2" s="10">
        <f>Params!$E$9-(Params!$D$9/Params!$B$4)*(A2/1000)</f>
        <v/>
      </c>
      <c r="E2" s="10">
        <f>Params!$E$10-(Params!$D$10/Params!$B$4)*(A2/1000)</f>
        <v/>
      </c>
      <c r="F2" s="6" t="inlineStr">
        <is>
          <t>측정 구간 (600-1000 K)</t>
        </is>
      </c>
    </row>
    <row r="3">
      <c r="A3" s="7" t="n">
        <v>0.96</v>
      </c>
      <c r="B3" s="12">
        <f>1000/A3</f>
        <v/>
      </c>
      <c r="C3" s="10">
        <f>Params!$E$8-(Params!$D$8/Params!$B$4)*(A3/1000)</f>
        <v/>
      </c>
      <c r="D3" s="10">
        <f>Params!$E$9-(Params!$D$9/Params!$B$4)*(A3/1000)</f>
        <v/>
      </c>
      <c r="E3" s="10">
        <f>Params!$E$10-(Params!$D$10/Params!$B$4)*(A3/1000)</f>
        <v/>
      </c>
      <c r="F3" s="6" t="inlineStr">
        <is>
          <t>측정 구간 (600-1000 K)</t>
        </is>
      </c>
    </row>
    <row r="4">
      <c r="A4" s="7" t="n">
        <v>0.97</v>
      </c>
      <c r="B4" s="12">
        <f>1000/A4</f>
        <v/>
      </c>
      <c r="C4" s="10">
        <f>Params!$E$8-(Params!$D$8/Params!$B$4)*(A4/1000)</f>
        <v/>
      </c>
      <c r="D4" s="10">
        <f>Params!$E$9-(Params!$D$9/Params!$B$4)*(A4/1000)</f>
        <v/>
      </c>
      <c r="E4" s="10">
        <f>Params!$E$10-(Params!$D$10/Params!$B$4)*(A4/1000)</f>
        <v/>
      </c>
      <c r="F4" s="6" t="inlineStr">
        <is>
          <t>측정 구간 (600-1000 K)</t>
        </is>
      </c>
    </row>
    <row r="5">
      <c r="A5" s="7" t="n">
        <v>0.98</v>
      </c>
      <c r="B5" s="12">
        <f>1000/A5</f>
        <v/>
      </c>
      <c r="C5" s="10">
        <f>Params!$E$8-(Params!$D$8/Params!$B$4)*(A5/1000)</f>
        <v/>
      </c>
      <c r="D5" s="10">
        <f>Params!$E$9-(Params!$D$9/Params!$B$4)*(A5/1000)</f>
        <v/>
      </c>
      <c r="E5" s="10">
        <f>Params!$E$10-(Params!$D$10/Params!$B$4)*(A5/1000)</f>
        <v/>
      </c>
      <c r="F5" s="6" t="inlineStr">
        <is>
          <t>측정 구간 (600-1000 K)</t>
        </is>
      </c>
    </row>
    <row r="6">
      <c r="A6" s="7" t="n">
        <v>0.99</v>
      </c>
      <c r="B6" s="12">
        <f>1000/A6</f>
        <v/>
      </c>
      <c r="C6" s="10">
        <f>Params!$E$8-(Params!$D$8/Params!$B$4)*(A6/1000)</f>
        <v/>
      </c>
      <c r="D6" s="10">
        <f>Params!$E$9-(Params!$D$9/Params!$B$4)*(A6/1000)</f>
        <v/>
      </c>
      <c r="E6" s="10">
        <f>Params!$E$10-(Params!$D$10/Params!$B$4)*(A6/1000)</f>
        <v/>
      </c>
      <c r="F6" s="6" t="inlineStr">
        <is>
          <t>측정 구간 (600-1000 K)</t>
        </is>
      </c>
    </row>
    <row r="7">
      <c r="A7" s="7" t="n">
        <v>1</v>
      </c>
      <c r="B7" s="12">
        <f>1000/A7</f>
        <v/>
      </c>
      <c r="C7" s="10">
        <f>Params!$E$8-(Params!$D$8/Params!$B$4)*(A7/1000)</f>
        <v/>
      </c>
      <c r="D7" s="10">
        <f>Params!$E$9-(Params!$D$9/Params!$B$4)*(A7/1000)</f>
        <v/>
      </c>
      <c r="E7" s="10">
        <f>Params!$E$10-(Params!$D$10/Params!$B$4)*(A7/1000)</f>
        <v/>
      </c>
      <c r="F7" s="6" t="inlineStr">
        <is>
          <t>측정 구간 (600-1000 K)</t>
        </is>
      </c>
    </row>
    <row r="8">
      <c r="A8" s="7" t="n">
        <v>1.01</v>
      </c>
      <c r="B8" s="12">
        <f>1000/A8</f>
        <v/>
      </c>
      <c r="C8" s="10">
        <f>Params!$E$8-(Params!$D$8/Params!$B$4)*(A8/1000)</f>
        <v/>
      </c>
      <c r="D8" s="10">
        <f>Params!$E$9-(Params!$D$9/Params!$B$4)*(A8/1000)</f>
        <v/>
      </c>
      <c r="E8" s="10">
        <f>Params!$E$10-(Params!$D$10/Params!$B$4)*(A8/1000)</f>
        <v/>
      </c>
      <c r="F8" s="6" t="inlineStr">
        <is>
          <t>측정 구간 (600-1000 K)</t>
        </is>
      </c>
    </row>
    <row r="9">
      <c r="A9" s="7" t="n">
        <v>1.02</v>
      </c>
      <c r="B9" s="12">
        <f>1000/A9</f>
        <v/>
      </c>
      <c r="C9" s="10">
        <f>Params!$E$8-(Params!$D$8/Params!$B$4)*(A9/1000)</f>
        <v/>
      </c>
      <c r="D9" s="10">
        <f>Params!$E$9-(Params!$D$9/Params!$B$4)*(A9/1000)</f>
        <v/>
      </c>
      <c r="E9" s="10">
        <f>Params!$E$10-(Params!$D$10/Params!$B$4)*(A9/1000)</f>
        <v/>
      </c>
      <c r="F9" s="6" t="inlineStr">
        <is>
          <t>측정 구간 (600-1000 K)</t>
        </is>
      </c>
    </row>
    <row r="10">
      <c r="A10" s="7" t="n">
        <v>1.03</v>
      </c>
      <c r="B10" s="12">
        <f>1000/A10</f>
        <v/>
      </c>
      <c r="C10" s="10">
        <f>Params!$E$8-(Params!$D$8/Params!$B$4)*(A10/1000)</f>
        <v/>
      </c>
      <c r="D10" s="10">
        <f>Params!$E$9-(Params!$D$9/Params!$B$4)*(A10/1000)</f>
        <v/>
      </c>
      <c r="E10" s="10">
        <f>Params!$E$10-(Params!$D$10/Params!$B$4)*(A10/1000)</f>
        <v/>
      </c>
      <c r="F10" s="6" t="inlineStr">
        <is>
          <t>측정 구간 (600-1000 K)</t>
        </is>
      </c>
    </row>
    <row r="11">
      <c r="A11" s="7" t="n">
        <v>1.04</v>
      </c>
      <c r="B11" s="12">
        <f>1000/A11</f>
        <v/>
      </c>
      <c r="C11" s="10">
        <f>Params!$E$8-(Params!$D$8/Params!$B$4)*(A11/1000)</f>
        <v/>
      </c>
      <c r="D11" s="10">
        <f>Params!$E$9-(Params!$D$9/Params!$B$4)*(A11/1000)</f>
        <v/>
      </c>
      <c r="E11" s="10">
        <f>Params!$E$10-(Params!$D$10/Params!$B$4)*(A11/1000)</f>
        <v/>
      </c>
      <c r="F11" s="6" t="inlineStr">
        <is>
          <t>측정 구간 (600-1000 K)</t>
        </is>
      </c>
    </row>
    <row r="12">
      <c r="A12" s="7" t="n">
        <v>1.05</v>
      </c>
      <c r="B12" s="12">
        <f>1000/A12</f>
        <v/>
      </c>
      <c r="C12" s="10">
        <f>Params!$E$8-(Params!$D$8/Params!$B$4)*(A12/1000)</f>
        <v/>
      </c>
      <c r="D12" s="10">
        <f>Params!$E$9-(Params!$D$9/Params!$B$4)*(A12/1000)</f>
        <v/>
      </c>
      <c r="E12" s="10">
        <f>Params!$E$10-(Params!$D$10/Params!$B$4)*(A12/1000)</f>
        <v/>
      </c>
      <c r="F12" s="6" t="inlineStr">
        <is>
          <t>측정 구간 (600-1000 K)</t>
        </is>
      </c>
    </row>
    <row r="13">
      <c r="A13" s="7" t="n">
        <v>1.06</v>
      </c>
      <c r="B13" s="12">
        <f>1000/A13</f>
        <v/>
      </c>
      <c r="C13" s="10">
        <f>Params!$E$8-(Params!$D$8/Params!$B$4)*(A13/1000)</f>
        <v/>
      </c>
      <c r="D13" s="10">
        <f>Params!$E$9-(Params!$D$9/Params!$B$4)*(A13/1000)</f>
        <v/>
      </c>
      <c r="E13" s="10">
        <f>Params!$E$10-(Params!$D$10/Params!$B$4)*(A13/1000)</f>
        <v/>
      </c>
      <c r="F13" s="6" t="inlineStr">
        <is>
          <t>측정 구간 (600-1000 K)</t>
        </is>
      </c>
    </row>
    <row r="14">
      <c r="A14" s="7" t="n">
        <v>1.07</v>
      </c>
      <c r="B14" s="12">
        <f>1000/A14</f>
        <v/>
      </c>
      <c r="C14" s="10">
        <f>Params!$E$8-(Params!$D$8/Params!$B$4)*(A14/1000)</f>
        <v/>
      </c>
      <c r="D14" s="10">
        <f>Params!$E$9-(Params!$D$9/Params!$B$4)*(A14/1000)</f>
        <v/>
      </c>
      <c r="E14" s="10">
        <f>Params!$E$10-(Params!$D$10/Params!$B$4)*(A14/1000)</f>
        <v/>
      </c>
      <c r="F14" s="6" t="inlineStr">
        <is>
          <t>측정 구간 (600-1000 K)</t>
        </is>
      </c>
    </row>
    <row r="15">
      <c r="A15" s="7" t="n">
        <v>1.08</v>
      </c>
      <c r="B15" s="12">
        <f>1000/A15</f>
        <v/>
      </c>
      <c r="C15" s="10">
        <f>Params!$E$8-(Params!$D$8/Params!$B$4)*(A15/1000)</f>
        <v/>
      </c>
      <c r="D15" s="10">
        <f>Params!$E$9-(Params!$D$9/Params!$B$4)*(A15/1000)</f>
        <v/>
      </c>
      <c r="E15" s="10">
        <f>Params!$E$10-(Params!$D$10/Params!$B$4)*(A15/1000)</f>
        <v/>
      </c>
      <c r="F15" s="6" t="inlineStr">
        <is>
          <t>측정 구간 (600-1000 K)</t>
        </is>
      </c>
    </row>
    <row r="16">
      <c r="A16" s="7" t="n">
        <v>1.09</v>
      </c>
      <c r="B16" s="12">
        <f>1000/A16</f>
        <v/>
      </c>
      <c r="C16" s="10">
        <f>Params!$E$8-(Params!$D$8/Params!$B$4)*(A16/1000)</f>
        <v/>
      </c>
      <c r="D16" s="10">
        <f>Params!$E$9-(Params!$D$9/Params!$B$4)*(A16/1000)</f>
        <v/>
      </c>
      <c r="E16" s="10">
        <f>Params!$E$10-(Params!$D$10/Params!$B$4)*(A16/1000)</f>
        <v/>
      </c>
      <c r="F16" s="6" t="inlineStr">
        <is>
          <t>측정 구간 (600-1000 K)</t>
        </is>
      </c>
    </row>
    <row r="17">
      <c r="A17" s="7" t="n">
        <v>1.1</v>
      </c>
      <c r="B17" s="12">
        <f>1000/A17</f>
        <v/>
      </c>
      <c r="C17" s="10">
        <f>Params!$E$8-(Params!$D$8/Params!$B$4)*(A17/1000)</f>
        <v/>
      </c>
      <c r="D17" s="10">
        <f>Params!$E$9-(Params!$D$9/Params!$B$4)*(A17/1000)</f>
        <v/>
      </c>
      <c r="E17" s="10">
        <f>Params!$E$10-(Params!$D$10/Params!$B$4)*(A17/1000)</f>
        <v/>
      </c>
      <c r="F17" s="6" t="inlineStr">
        <is>
          <t>측정 구간 (600-1000 K)</t>
        </is>
      </c>
    </row>
    <row r="18">
      <c r="A18" s="7" t="n">
        <v>1.11</v>
      </c>
      <c r="B18" s="12">
        <f>1000/A18</f>
        <v/>
      </c>
      <c r="C18" s="10">
        <f>Params!$E$8-(Params!$D$8/Params!$B$4)*(A18/1000)</f>
        <v/>
      </c>
      <c r="D18" s="10">
        <f>Params!$E$9-(Params!$D$9/Params!$B$4)*(A18/1000)</f>
        <v/>
      </c>
      <c r="E18" s="10">
        <f>Params!$E$10-(Params!$D$10/Params!$B$4)*(A18/1000)</f>
        <v/>
      </c>
      <c r="F18" s="6" t="inlineStr">
        <is>
          <t>측정 구간 (600-1000 K)</t>
        </is>
      </c>
    </row>
    <row r="19">
      <c r="A19" s="7" t="n">
        <v>1.12</v>
      </c>
      <c r="B19" s="12">
        <f>1000/A19</f>
        <v/>
      </c>
      <c r="C19" s="10">
        <f>Params!$E$8-(Params!$D$8/Params!$B$4)*(A19/1000)</f>
        <v/>
      </c>
      <c r="D19" s="10">
        <f>Params!$E$9-(Params!$D$9/Params!$B$4)*(A19/1000)</f>
        <v/>
      </c>
      <c r="E19" s="10">
        <f>Params!$E$10-(Params!$D$10/Params!$B$4)*(A19/1000)</f>
        <v/>
      </c>
      <c r="F19" s="6" t="inlineStr">
        <is>
          <t>측정 구간 (600-1000 K)</t>
        </is>
      </c>
    </row>
    <row r="20">
      <c r="A20" s="7" t="n">
        <v>1.13</v>
      </c>
      <c r="B20" s="12">
        <f>1000/A20</f>
        <v/>
      </c>
      <c r="C20" s="10">
        <f>Params!$E$8-(Params!$D$8/Params!$B$4)*(A20/1000)</f>
        <v/>
      </c>
      <c r="D20" s="10">
        <f>Params!$E$9-(Params!$D$9/Params!$B$4)*(A20/1000)</f>
        <v/>
      </c>
      <c r="E20" s="10">
        <f>Params!$E$10-(Params!$D$10/Params!$B$4)*(A20/1000)</f>
        <v/>
      </c>
      <c r="F20" s="6" t="inlineStr">
        <is>
          <t>측정 구간 (600-1000 K)</t>
        </is>
      </c>
    </row>
    <row r="21">
      <c r="A21" s="7" t="n">
        <v>1.14</v>
      </c>
      <c r="B21" s="12">
        <f>1000/A21</f>
        <v/>
      </c>
      <c r="C21" s="10">
        <f>Params!$E$8-(Params!$D$8/Params!$B$4)*(A21/1000)</f>
        <v/>
      </c>
      <c r="D21" s="10">
        <f>Params!$E$9-(Params!$D$9/Params!$B$4)*(A21/1000)</f>
        <v/>
      </c>
      <c r="E21" s="10">
        <f>Params!$E$10-(Params!$D$10/Params!$B$4)*(A21/1000)</f>
        <v/>
      </c>
      <c r="F21" s="6" t="inlineStr">
        <is>
          <t>측정 구간 (600-1000 K)</t>
        </is>
      </c>
    </row>
    <row r="22">
      <c r="A22" s="7" t="n">
        <v>1.15</v>
      </c>
      <c r="B22" s="12">
        <f>1000/A22</f>
        <v/>
      </c>
      <c r="C22" s="10">
        <f>Params!$E$8-(Params!$D$8/Params!$B$4)*(A22/1000)</f>
        <v/>
      </c>
      <c r="D22" s="10">
        <f>Params!$E$9-(Params!$D$9/Params!$B$4)*(A22/1000)</f>
        <v/>
      </c>
      <c r="E22" s="10">
        <f>Params!$E$10-(Params!$D$10/Params!$B$4)*(A22/1000)</f>
        <v/>
      </c>
      <c r="F22" s="6" t="inlineStr">
        <is>
          <t>측정 구간 (600-1000 K)</t>
        </is>
      </c>
    </row>
    <row r="23">
      <c r="A23" s="7" t="n">
        <v>1.16</v>
      </c>
      <c r="B23" s="12">
        <f>1000/A23</f>
        <v/>
      </c>
      <c r="C23" s="10">
        <f>Params!$E$8-(Params!$D$8/Params!$B$4)*(A23/1000)</f>
        <v/>
      </c>
      <c r="D23" s="10">
        <f>Params!$E$9-(Params!$D$9/Params!$B$4)*(A23/1000)</f>
        <v/>
      </c>
      <c r="E23" s="10">
        <f>Params!$E$10-(Params!$D$10/Params!$B$4)*(A23/1000)</f>
        <v/>
      </c>
      <c r="F23" s="6" t="inlineStr">
        <is>
          <t>측정 구간 (600-1000 K)</t>
        </is>
      </c>
    </row>
    <row r="24">
      <c r="A24" s="7" t="n">
        <v>1.17</v>
      </c>
      <c r="B24" s="12">
        <f>1000/A24</f>
        <v/>
      </c>
      <c r="C24" s="10">
        <f>Params!$E$8-(Params!$D$8/Params!$B$4)*(A24/1000)</f>
        <v/>
      </c>
      <c r="D24" s="10">
        <f>Params!$E$9-(Params!$D$9/Params!$B$4)*(A24/1000)</f>
        <v/>
      </c>
      <c r="E24" s="10">
        <f>Params!$E$10-(Params!$D$10/Params!$B$4)*(A24/1000)</f>
        <v/>
      </c>
      <c r="F24" s="6" t="inlineStr">
        <is>
          <t>측정 구간 (600-1000 K)</t>
        </is>
      </c>
    </row>
    <row r="25">
      <c r="A25" s="7" t="n">
        <v>1.18</v>
      </c>
      <c r="B25" s="12">
        <f>1000/A25</f>
        <v/>
      </c>
      <c r="C25" s="10">
        <f>Params!$E$8-(Params!$D$8/Params!$B$4)*(A25/1000)</f>
        <v/>
      </c>
      <c r="D25" s="10">
        <f>Params!$E$9-(Params!$D$9/Params!$B$4)*(A25/1000)</f>
        <v/>
      </c>
      <c r="E25" s="10">
        <f>Params!$E$10-(Params!$D$10/Params!$B$4)*(A25/1000)</f>
        <v/>
      </c>
      <c r="F25" s="6" t="inlineStr">
        <is>
          <t>측정 구간 (600-1000 K)</t>
        </is>
      </c>
    </row>
    <row r="26">
      <c r="A26" s="7" t="n">
        <v>1.19</v>
      </c>
      <c r="B26" s="12">
        <f>1000/A26</f>
        <v/>
      </c>
      <c r="C26" s="10">
        <f>Params!$E$8-(Params!$D$8/Params!$B$4)*(A26/1000)</f>
        <v/>
      </c>
      <c r="D26" s="10">
        <f>Params!$E$9-(Params!$D$9/Params!$B$4)*(A26/1000)</f>
        <v/>
      </c>
      <c r="E26" s="10">
        <f>Params!$E$10-(Params!$D$10/Params!$B$4)*(A26/1000)</f>
        <v/>
      </c>
      <c r="F26" s="6" t="inlineStr">
        <is>
          <t>측정 구간 (600-1000 K)</t>
        </is>
      </c>
    </row>
    <row r="27">
      <c r="A27" s="7" t="n">
        <v>1.2</v>
      </c>
      <c r="B27" s="12">
        <f>1000/A27</f>
        <v/>
      </c>
      <c r="C27" s="10">
        <f>Params!$E$8-(Params!$D$8/Params!$B$4)*(A27/1000)</f>
        <v/>
      </c>
      <c r="D27" s="10">
        <f>Params!$E$9-(Params!$D$9/Params!$B$4)*(A27/1000)</f>
        <v/>
      </c>
      <c r="E27" s="10">
        <f>Params!$E$10-(Params!$D$10/Params!$B$4)*(A27/1000)</f>
        <v/>
      </c>
      <c r="F27" s="6" t="inlineStr">
        <is>
          <t>측정 구간 (600-1000 K)</t>
        </is>
      </c>
    </row>
    <row r="28">
      <c r="A28" s="7" t="n">
        <v>1.21</v>
      </c>
      <c r="B28" s="12">
        <f>1000/A28</f>
        <v/>
      </c>
      <c r="C28" s="10">
        <f>Params!$E$8-(Params!$D$8/Params!$B$4)*(A28/1000)</f>
        <v/>
      </c>
      <c r="D28" s="10">
        <f>Params!$E$9-(Params!$D$9/Params!$B$4)*(A28/1000)</f>
        <v/>
      </c>
      <c r="E28" s="10">
        <f>Params!$E$10-(Params!$D$10/Params!$B$4)*(A28/1000)</f>
        <v/>
      </c>
      <c r="F28" s="6" t="inlineStr">
        <is>
          <t>측정 구간 (600-1000 K)</t>
        </is>
      </c>
    </row>
    <row r="29">
      <c r="A29" s="7" t="n">
        <v>1.22</v>
      </c>
      <c r="B29" s="12">
        <f>1000/A29</f>
        <v/>
      </c>
      <c r="C29" s="10">
        <f>Params!$E$8-(Params!$D$8/Params!$B$4)*(A29/1000)</f>
        <v/>
      </c>
      <c r="D29" s="10">
        <f>Params!$E$9-(Params!$D$9/Params!$B$4)*(A29/1000)</f>
        <v/>
      </c>
      <c r="E29" s="10">
        <f>Params!$E$10-(Params!$D$10/Params!$B$4)*(A29/1000)</f>
        <v/>
      </c>
      <c r="F29" s="6" t="inlineStr">
        <is>
          <t>측정 구간 (600-1000 K)</t>
        </is>
      </c>
    </row>
    <row r="30">
      <c r="A30" s="7" t="n">
        <v>1.23</v>
      </c>
      <c r="B30" s="12">
        <f>1000/A30</f>
        <v/>
      </c>
      <c r="C30" s="10">
        <f>Params!$E$8-(Params!$D$8/Params!$B$4)*(A30/1000)</f>
        <v/>
      </c>
      <c r="D30" s="10">
        <f>Params!$E$9-(Params!$D$9/Params!$B$4)*(A30/1000)</f>
        <v/>
      </c>
      <c r="E30" s="10">
        <f>Params!$E$10-(Params!$D$10/Params!$B$4)*(A30/1000)</f>
        <v/>
      </c>
      <c r="F30" s="6" t="inlineStr">
        <is>
          <t>측정 구간 (600-1000 K)</t>
        </is>
      </c>
    </row>
    <row r="31">
      <c r="A31" s="7" t="n">
        <v>1.24</v>
      </c>
      <c r="B31" s="12">
        <f>1000/A31</f>
        <v/>
      </c>
      <c r="C31" s="10">
        <f>Params!$E$8-(Params!$D$8/Params!$B$4)*(A31/1000)</f>
        <v/>
      </c>
      <c r="D31" s="10">
        <f>Params!$E$9-(Params!$D$9/Params!$B$4)*(A31/1000)</f>
        <v/>
      </c>
      <c r="E31" s="10">
        <f>Params!$E$10-(Params!$D$10/Params!$B$4)*(A31/1000)</f>
        <v/>
      </c>
      <c r="F31" s="6" t="inlineStr">
        <is>
          <t>측정 구간 (600-1000 K)</t>
        </is>
      </c>
    </row>
    <row r="32">
      <c r="A32" s="7" t="n">
        <v>1.25</v>
      </c>
      <c r="B32" s="12">
        <f>1000/A32</f>
        <v/>
      </c>
      <c r="C32" s="10">
        <f>Params!$E$8-(Params!$D$8/Params!$B$4)*(A32/1000)</f>
        <v/>
      </c>
      <c r="D32" s="10">
        <f>Params!$E$9-(Params!$D$9/Params!$B$4)*(A32/1000)</f>
        <v/>
      </c>
      <c r="E32" s="10">
        <f>Params!$E$10-(Params!$D$10/Params!$B$4)*(A32/1000)</f>
        <v/>
      </c>
      <c r="F32" s="6" t="inlineStr">
        <is>
          <t>측정 구간 (600-1000 K)</t>
        </is>
      </c>
    </row>
    <row r="33">
      <c r="A33" s="7" t="n">
        <v>1.26</v>
      </c>
      <c r="B33" s="12">
        <f>1000/A33</f>
        <v/>
      </c>
      <c r="C33" s="10">
        <f>Params!$E$8-(Params!$D$8/Params!$B$4)*(A33/1000)</f>
        <v/>
      </c>
      <c r="D33" s="10">
        <f>Params!$E$9-(Params!$D$9/Params!$B$4)*(A33/1000)</f>
        <v/>
      </c>
      <c r="E33" s="10">
        <f>Params!$E$10-(Params!$D$10/Params!$B$4)*(A33/1000)</f>
        <v/>
      </c>
      <c r="F33" s="6" t="inlineStr">
        <is>
          <t>측정 구간 (600-1000 K)</t>
        </is>
      </c>
    </row>
    <row r="34">
      <c r="A34" s="7" t="n">
        <v>1.27</v>
      </c>
      <c r="B34" s="12">
        <f>1000/A34</f>
        <v/>
      </c>
      <c r="C34" s="10">
        <f>Params!$E$8-(Params!$D$8/Params!$B$4)*(A34/1000)</f>
        <v/>
      </c>
      <c r="D34" s="10">
        <f>Params!$E$9-(Params!$D$9/Params!$B$4)*(A34/1000)</f>
        <v/>
      </c>
      <c r="E34" s="10">
        <f>Params!$E$10-(Params!$D$10/Params!$B$4)*(A34/1000)</f>
        <v/>
      </c>
      <c r="F34" s="6" t="inlineStr">
        <is>
          <t>측정 구간 (600-1000 K)</t>
        </is>
      </c>
    </row>
    <row r="35">
      <c r="A35" s="7" t="n">
        <v>1.28</v>
      </c>
      <c r="B35" s="12">
        <f>1000/A35</f>
        <v/>
      </c>
      <c r="C35" s="10">
        <f>Params!$E$8-(Params!$D$8/Params!$B$4)*(A35/1000)</f>
        <v/>
      </c>
      <c r="D35" s="10">
        <f>Params!$E$9-(Params!$D$9/Params!$B$4)*(A35/1000)</f>
        <v/>
      </c>
      <c r="E35" s="10">
        <f>Params!$E$10-(Params!$D$10/Params!$B$4)*(A35/1000)</f>
        <v/>
      </c>
      <c r="F35" s="6" t="inlineStr">
        <is>
          <t>측정 구간 (600-1000 K)</t>
        </is>
      </c>
    </row>
    <row r="36">
      <c r="A36" s="7" t="n">
        <v>1.29</v>
      </c>
      <c r="B36" s="12">
        <f>1000/A36</f>
        <v/>
      </c>
      <c r="C36" s="10">
        <f>Params!$E$8-(Params!$D$8/Params!$B$4)*(A36/1000)</f>
        <v/>
      </c>
      <c r="D36" s="10">
        <f>Params!$E$9-(Params!$D$9/Params!$B$4)*(A36/1000)</f>
        <v/>
      </c>
      <c r="E36" s="10">
        <f>Params!$E$10-(Params!$D$10/Params!$B$4)*(A36/1000)</f>
        <v/>
      </c>
      <c r="F36" s="6" t="inlineStr">
        <is>
          <t>측정 구간 (600-1000 K)</t>
        </is>
      </c>
    </row>
    <row r="37">
      <c r="A37" s="7" t="n">
        <v>1.3</v>
      </c>
      <c r="B37" s="12">
        <f>1000/A37</f>
        <v/>
      </c>
      <c r="C37" s="10">
        <f>Params!$E$8-(Params!$D$8/Params!$B$4)*(A37/1000)</f>
        <v/>
      </c>
      <c r="D37" s="10">
        <f>Params!$E$9-(Params!$D$9/Params!$B$4)*(A37/1000)</f>
        <v/>
      </c>
      <c r="E37" s="10">
        <f>Params!$E$10-(Params!$D$10/Params!$B$4)*(A37/1000)</f>
        <v/>
      </c>
      <c r="F37" s="6" t="inlineStr">
        <is>
          <t>측정 구간 (600-1000 K)</t>
        </is>
      </c>
    </row>
    <row r="38">
      <c r="A38" s="7" t="n">
        <v>1.31</v>
      </c>
      <c r="B38" s="12">
        <f>1000/A38</f>
        <v/>
      </c>
      <c r="C38" s="10">
        <f>Params!$E$8-(Params!$D$8/Params!$B$4)*(A38/1000)</f>
        <v/>
      </c>
      <c r="D38" s="10">
        <f>Params!$E$9-(Params!$D$9/Params!$B$4)*(A38/1000)</f>
        <v/>
      </c>
      <c r="E38" s="10">
        <f>Params!$E$10-(Params!$D$10/Params!$B$4)*(A38/1000)</f>
        <v/>
      </c>
      <c r="F38" s="6" t="inlineStr">
        <is>
          <t>측정 구간 (600-1000 K)</t>
        </is>
      </c>
    </row>
    <row r="39">
      <c r="A39" s="7" t="n">
        <v>1.32</v>
      </c>
      <c r="B39" s="12">
        <f>1000/A39</f>
        <v/>
      </c>
      <c r="C39" s="10">
        <f>Params!$E$8-(Params!$D$8/Params!$B$4)*(A39/1000)</f>
        <v/>
      </c>
      <c r="D39" s="10">
        <f>Params!$E$9-(Params!$D$9/Params!$B$4)*(A39/1000)</f>
        <v/>
      </c>
      <c r="E39" s="10">
        <f>Params!$E$10-(Params!$D$10/Params!$B$4)*(A39/1000)</f>
        <v/>
      </c>
      <c r="F39" s="6" t="inlineStr">
        <is>
          <t>측정 구간 (600-1000 K)</t>
        </is>
      </c>
    </row>
    <row r="40">
      <c r="A40" s="7" t="n">
        <v>1.33</v>
      </c>
      <c r="B40" s="12">
        <f>1000/A40</f>
        <v/>
      </c>
      <c r="C40" s="10">
        <f>Params!$E$8-(Params!$D$8/Params!$B$4)*(A40/1000)</f>
        <v/>
      </c>
      <c r="D40" s="10">
        <f>Params!$E$9-(Params!$D$9/Params!$B$4)*(A40/1000)</f>
        <v/>
      </c>
      <c r="E40" s="10">
        <f>Params!$E$10-(Params!$D$10/Params!$B$4)*(A40/1000)</f>
        <v/>
      </c>
      <c r="F40" s="6" t="inlineStr">
        <is>
          <t>측정 구간 (600-1000 K)</t>
        </is>
      </c>
    </row>
    <row r="41">
      <c r="A41" s="7" t="n">
        <v>1.34</v>
      </c>
      <c r="B41" s="12">
        <f>1000/A41</f>
        <v/>
      </c>
      <c r="C41" s="10">
        <f>Params!$E$8-(Params!$D$8/Params!$B$4)*(A41/1000)</f>
        <v/>
      </c>
      <c r="D41" s="10">
        <f>Params!$E$9-(Params!$D$9/Params!$B$4)*(A41/1000)</f>
        <v/>
      </c>
      <c r="E41" s="10">
        <f>Params!$E$10-(Params!$D$10/Params!$B$4)*(A41/1000)</f>
        <v/>
      </c>
      <c r="F41" s="6" t="inlineStr">
        <is>
          <t>측정 구간 (600-1000 K)</t>
        </is>
      </c>
    </row>
    <row r="42">
      <c r="A42" s="7" t="n">
        <v>1.35</v>
      </c>
      <c r="B42" s="12">
        <f>1000/A42</f>
        <v/>
      </c>
      <c r="C42" s="10">
        <f>Params!$E$8-(Params!$D$8/Params!$B$4)*(A42/1000)</f>
        <v/>
      </c>
      <c r="D42" s="10">
        <f>Params!$E$9-(Params!$D$9/Params!$B$4)*(A42/1000)</f>
        <v/>
      </c>
      <c r="E42" s="10">
        <f>Params!$E$10-(Params!$D$10/Params!$B$4)*(A42/1000)</f>
        <v/>
      </c>
      <c r="F42" s="6" t="inlineStr">
        <is>
          <t>측정 구간 (600-1000 K)</t>
        </is>
      </c>
    </row>
    <row r="43">
      <c r="A43" s="7" t="n">
        <v>1.36</v>
      </c>
      <c r="B43" s="12">
        <f>1000/A43</f>
        <v/>
      </c>
      <c r="C43" s="10">
        <f>Params!$E$8-(Params!$D$8/Params!$B$4)*(A43/1000)</f>
        <v/>
      </c>
      <c r="D43" s="10">
        <f>Params!$E$9-(Params!$D$9/Params!$B$4)*(A43/1000)</f>
        <v/>
      </c>
      <c r="E43" s="10">
        <f>Params!$E$10-(Params!$D$10/Params!$B$4)*(A43/1000)</f>
        <v/>
      </c>
      <c r="F43" s="6" t="inlineStr">
        <is>
          <t>측정 구간 (600-1000 K)</t>
        </is>
      </c>
    </row>
    <row r="44">
      <c r="A44" s="7" t="n">
        <v>1.37</v>
      </c>
      <c r="B44" s="12">
        <f>1000/A44</f>
        <v/>
      </c>
      <c r="C44" s="10">
        <f>Params!$E$8-(Params!$D$8/Params!$B$4)*(A44/1000)</f>
        <v/>
      </c>
      <c r="D44" s="10">
        <f>Params!$E$9-(Params!$D$9/Params!$B$4)*(A44/1000)</f>
        <v/>
      </c>
      <c r="E44" s="10">
        <f>Params!$E$10-(Params!$D$10/Params!$B$4)*(A44/1000)</f>
        <v/>
      </c>
      <c r="F44" s="6" t="inlineStr">
        <is>
          <t>측정 구간 (600-1000 K)</t>
        </is>
      </c>
    </row>
    <row r="45">
      <c r="A45" s="7" t="n">
        <v>1.38</v>
      </c>
      <c r="B45" s="12">
        <f>1000/A45</f>
        <v/>
      </c>
      <c r="C45" s="10">
        <f>Params!$E$8-(Params!$D$8/Params!$B$4)*(A45/1000)</f>
        <v/>
      </c>
      <c r="D45" s="10">
        <f>Params!$E$9-(Params!$D$9/Params!$B$4)*(A45/1000)</f>
        <v/>
      </c>
      <c r="E45" s="10">
        <f>Params!$E$10-(Params!$D$10/Params!$B$4)*(A45/1000)</f>
        <v/>
      </c>
      <c r="F45" s="6" t="inlineStr">
        <is>
          <t>측정 구간 (600-1000 K)</t>
        </is>
      </c>
    </row>
    <row r="46">
      <c r="A46" s="7" t="n">
        <v>1.39</v>
      </c>
      <c r="B46" s="12">
        <f>1000/A46</f>
        <v/>
      </c>
      <c r="C46" s="10">
        <f>Params!$E$8-(Params!$D$8/Params!$B$4)*(A46/1000)</f>
        <v/>
      </c>
      <c r="D46" s="10">
        <f>Params!$E$9-(Params!$D$9/Params!$B$4)*(A46/1000)</f>
        <v/>
      </c>
      <c r="E46" s="10">
        <f>Params!$E$10-(Params!$D$10/Params!$B$4)*(A46/1000)</f>
        <v/>
      </c>
      <c r="F46" s="6" t="inlineStr">
        <is>
          <t>측정 구간 (600-1000 K)</t>
        </is>
      </c>
    </row>
    <row r="47">
      <c r="A47" s="7" t="n">
        <v>1.4</v>
      </c>
      <c r="B47" s="12">
        <f>1000/A47</f>
        <v/>
      </c>
      <c r="C47" s="10">
        <f>Params!$E$8-(Params!$D$8/Params!$B$4)*(A47/1000)</f>
        <v/>
      </c>
      <c r="D47" s="10">
        <f>Params!$E$9-(Params!$D$9/Params!$B$4)*(A47/1000)</f>
        <v/>
      </c>
      <c r="E47" s="10">
        <f>Params!$E$10-(Params!$D$10/Params!$B$4)*(A47/1000)</f>
        <v/>
      </c>
      <c r="F47" s="6" t="inlineStr">
        <is>
          <t>측정 구간 (600-1000 K)</t>
        </is>
      </c>
    </row>
    <row r="48">
      <c r="A48" s="7" t="n">
        <v>1.41</v>
      </c>
      <c r="B48" s="12">
        <f>1000/A48</f>
        <v/>
      </c>
      <c r="C48" s="10">
        <f>Params!$E$8-(Params!$D$8/Params!$B$4)*(A48/1000)</f>
        <v/>
      </c>
      <c r="D48" s="10">
        <f>Params!$E$9-(Params!$D$9/Params!$B$4)*(A48/1000)</f>
        <v/>
      </c>
      <c r="E48" s="10">
        <f>Params!$E$10-(Params!$D$10/Params!$B$4)*(A48/1000)</f>
        <v/>
      </c>
      <c r="F48" s="6" t="inlineStr">
        <is>
          <t>측정 구간 (600-1000 K)</t>
        </is>
      </c>
    </row>
    <row r="49">
      <c r="A49" s="7" t="n">
        <v>1.42</v>
      </c>
      <c r="B49" s="12">
        <f>1000/A49</f>
        <v/>
      </c>
      <c r="C49" s="10">
        <f>Params!$E$8-(Params!$D$8/Params!$B$4)*(A49/1000)</f>
        <v/>
      </c>
      <c r="D49" s="10">
        <f>Params!$E$9-(Params!$D$9/Params!$B$4)*(A49/1000)</f>
        <v/>
      </c>
      <c r="E49" s="10">
        <f>Params!$E$10-(Params!$D$10/Params!$B$4)*(A49/1000)</f>
        <v/>
      </c>
      <c r="F49" s="6" t="inlineStr">
        <is>
          <t>측정 구간 (600-1000 K)</t>
        </is>
      </c>
    </row>
    <row r="50">
      <c r="A50" s="7" t="n">
        <v>1.43</v>
      </c>
      <c r="B50" s="12">
        <f>1000/A50</f>
        <v/>
      </c>
      <c r="C50" s="10">
        <f>Params!$E$8-(Params!$D$8/Params!$B$4)*(A50/1000)</f>
        <v/>
      </c>
      <c r="D50" s="10">
        <f>Params!$E$9-(Params!$D$9/Params!$B$4)*(A50/1000)</f>
        <v/>
      </c>
      <c r="E50" s="10">
        <f>Params!$E$10-(Params!$D$10/Params!$B$4)*(A50/1000)</f>
        <v/>
      </c>
      <c r="F50" s="6" t="inlineStr">
        <is>
          <t>측정 구간 (600-1000 K)</t>
        </is>
      </c>
    </row>
    <row r="51">
      <c r="A51" s="7" t="n">
        <v>1.44</v>
      </c>
      <c r="B51" s="12">
        <f>1000/A51</f>
        <v/>
      </c>
      <c r="C51" s="10">
        <f>Params!$E$8-(Params!$D$8/Params!$B$4)*(A51/1000)</f>
        <v/>
      </c>
      <c r="D51" s="10">
        <f>Params!$E$9-(Params!$D$9/Params!$B$4)*(A51/1000)</f>
        <v/>
      </c>
      <c r="E51" s="10">
        <f>Params!$E$10-(Params!$D$10/Params!$B$4)*(A51/1000)</f>
        <v/>
      </c>
      <c r="F51" s="6" t="inlineStr">
        <is>
          <t>측정 구간 (600-1000 K)</t>
        </is>
      </c>
    </row>
    <row r="52">
      <c r="A52" s="7" t="n">
        <v>1.45</v>
      </c>
      <c r="B52" s="12">
        <f>1000/A52</f>
        <v/>
      </c>
      <c r="C52" s="10">
        <f>Params!$E$8-(Params!$D$8/Params!$B$4)*(A52/1000)</f>
        <v/>
      </c>
      <c r="D52" s="10">
        <f>Params!$E$9-(Params!$D$9/Params!$B$4)*(A52/1000)</f>
        <v/>
      </c>
      <c r="E52" s="10">
        <f>Params!$E$10-(Params!$D$10/Params!$B$4)*(A52/1000)</f>
        <v/>
      </c>
      <c r="F52" s="6" t="inlineStr">
        <is>
          <t>측정 구간 (600-1000 K)</t>
        </is>
      </c>
    </row>
    <row r="53">
      <c r="A53" s="7" t="n">
        <v>1.46</v>
      </c>
      <c r="B53" s="12">
        <f>1000/A53</f>
        <v/>
      </c>
      <c r="C53" s="10">
        <f>Params!$E$8-(Params!$D$8/Params!$B$4)*(A53/1000)</f>
        <v/>
      </c>
      <c r="D53" s="10">
        <f>Params!$E$9-(Params!$D$9/Params!$B$4)*(A53/1000)</f>
        <v/>
      </c>
      <c r="E53" s="10">
        <f>Params!$E$10-(Params!$D$10/Params!$B$4)*(A53/1000)</f>
        <v/>
      </c>
      <c r="F53" s="6" t="inlineStr">
        <is>
          <t>측정 구간 (600-1000 K)</t>
        </is>
      </c>
    </row>
    <row r="54">
      <c r="A54" s="7" t="n">
        <v>1.47</v>
      </c>
      <c r="B54" s="12">
        <f>1000/A54</f>
        <v/>
      </c>
      <c r="C54" s="10">
        <f>Params!$E$8-(Params!$D$8/Params!$B$4)*(A54/1000)</f>
        <v/>
      </c>
      <c r="D54" s="10">
        <f>Params!$E$9-(Params!$D$9/Params!$B$4)*(A54/1000)</f>
        <v/>
      </c>
      <c r="E54" s="10">
        <f>Params!$E$10-(Params!$D$10/Params!$B$4)*(A54/1000)</f>
        <v/>
      </c>
      <c r="F54" s="6" t="inlineStr">
        <is>
          <t>측정 구간 (600-1000 K)</t>
        </is>
      </c>
    </row>
    <row r="55">
      <c r="A55" s="7" t="n">
        <v>1.48</v>
      </c>
      <c r="B55" s="12">
        <f>1000/A55</f>
        <v/>
      </c>
      <c r="C55" s="10">
        <f>Params!$E$8-(Params!$D$8/Params!$B$4)*(A55/1000)</f>
        <v/>
      </c>
      <c r="D55" s="10">
        <f>Params!$E$9-(Params!$D$9/Params!$B$4)*(A55/1000)</f>
        <v/>
      </c>
      <c r="E55" s="10">
        <f>Params!$E$10-(Params!$D$10/Params!$B$4)*(A55/1000)</f>
        <v/>
      </c>
      <c r="F55" s="6" t="inlineStr">
        <is>
          <t>측정 구간 (600-1000 K)</t>
        </is>
      </c>
    </row>
    <row r="56">
      <c r="A56" s="7" t="n">
        <v>1.49</v>
      </c>
      <c r="B56" s="12">
        <f>1000/A56</f>
        <v/>
      </c>
      <c r="C56" s="10">
        <f>Params!$E$8-(Params!$D$8/Params!$B$4)*(A56/1000)</f>
        <v/>
      </c>
      <c r="D56" s="10">
        <f>Params!$E$9-(Params!$D$9/Params!$B$4)*(A56/1000)</f>
        <v/>
      </c>
      <c r="E56" s="10">
        <f>Params!$E$10-(Params!$D$10/Params!$B$4)*(A56/1000)</f>
        <v/>
      </c>
      <c r="F56" s="6" t="inlineStr">
        <is>
          <t>측정 구간 (600-1000 K)</t>
        </is>
      </c>
    </row>
    <row r="57">
      <c r="A57" s="7" t="n">
        <v>1.5</v>
      </c>
      <c r="B57" s="12">
        <f>1000/A57</f>
        <v/>
      </c>
      <c r="C57" s="10">
        <f>Params!$E$8-(Params!$D$8/Params!$B$4)*(A57/1000)</f>
        <v/>
      </c>
      <c r="D57" s="10">
        <f>Params!$E$9-(Params!$D$9/Params!$B$4)*(A57/1000)</f>
        <v/>
      </c>
      <c r="E57" s="10">
        <f>Params!$E$10-(Params!$D$10/Params!$B$4)*(A57/1000)</f>
        <v/>
      </c>
      <c r="F57" s="6" t="inlineStr">
        <is>
          <t>측정 구간 (600-1000 K)</t>
        </is>
      </c>
    </row>
    <row r="58">
      <c r="A58" s="7" t="n">
        <v>1.51</v>
      </c>
      <c r="B58" s="12">
        <f>1000/A58</f>
        <v/>
      </c>
      <c r="C58" s="10">
        <f>Params!$E$8-(Params!$D$8/Params!$B$4)*(A58/1000)</f>
        <v/>
      </c>
      <c r="D58" s="10">
        <f>Params!$E$9-(Params!$D$9/Params!$B$4)*(A58/1000)</f>
        <v/>
      </c>
      <c r="E58" s="10">
        <f>Params!$E$10-(Params!$D$10/Params!$B$4)*(A58/1000)</f>
        <v/>
      </c>
      <c r="F58" s="6" t="inlineStr">
        <is>
          <t>측정 구간 (600-1000 K)</t>
        </is>
      </c>
    </row>
    <row r="59">
      <c r="A59" s="7" t="n">
        <v>1.52</v>
      </c>
      <c r="B59" s="12">
        <f>1000/A59</f>
        <v/>
      </c>
      <c r="C59" s="10">
        <f>Params!$E$8-(Params!$D$8/Params!$B$4)*(A59/1000)</f>
        <v/>
      </c>
      <c r="D59" s="10">
        <f>Params!$E$9-(Params!$D$9/Params!$B$4)*(A59/1000)</f>
        <v/>
      </c>
      <c r="E59" s="10">
        <f>Params!$E$10-(Params!$D$10/Params!$B$4)*(A59/1000)</f>
        <v/>
      </c>
      <c r="F59" s="6" t="inlineStr">
        <is>
          <t>측정 구간 (600-1000 K)</t>
        </is>
      </c>
    </row>
    <row r="60">
      <c r="A60" s="7" t="n">
        <v>1.53</v>
      </c>
      <c r="B60" s="12">
        <f>1000/A60</f>
        <v/>
      </c>
      <c r="C60" s="10">
        <f>Params!$E$8-(Params!$D$8/Params!$B$4)*(A60/1000)</f>
        <v/>
      </c>
      <c r="D60" s="10">
        <f>Params!$E$9-(Params!$D$9/Params!$B$4)*(A60/1000)</f>
        <v/>
      </c>
      <c r="E60" s="10">
        <f>Params!$E$10-(Params!$D$10/Params!$B$4)*(A60/1000)</f>
        <v/>
      </c>
      <c r="F60" s="6" t="inlineStr">
        <is>
          <t>측정 구간 (600-1000 K)</t>
        </is>
      </c>
    </row>
    <row r="61">
      <c r="A61" s="7" t="n">
        <v>1.54</v>
      </c>
      <c r="B61" s="12">
        <f>1000/A61</f>
        <v/>
      </c>
      <c r="C61" s="10">
        <f>Params!$E$8-(Params!$D$8/Params!$B$4)*(A61/1000)</f>
        <v/>
      </c>
      <c r="D61" s="10">
        <f>Params!$E$9-(Params!$D$9/Params!$B$4)*(A61/1000)</f>
        <v/>
      </c>
      <c r="E61" s="10">
        <f>Params!$E$10-(Params!$D$10/Params!$B$4)*(A61/1000)</f>
        <v/>
      </c>
      <c r="F61" s="6" t="inlineStr">
        <is>
          <t>측정 구간 (600-1000 K)</t>
        </is>
      </c>
    </row>
    <row r="62">
      <c r="A62" s="7" t="n">
        <v>1.55</v>
      </c>
      <c r="B62" s="12">
        <f>1000/A62</f>
        <v/>
      </c>
      <c r="C62" s="10">
        <f>Params!$E$8-(Params!$D$8/Params!$B$4)*(A62/1000)</f>
        <v/>
      </c>
      <c r="D62" s="10">
        <f>Params!$E$9-(Params!$D$9/Params!$B$4)*(A62/1000)</f>
        <v/>
      </c>
      <c r="E62" s="10">
        <f>Params!$E$10-(Params!$D$10/Params!$B$4)*(A62/1000)</f>
        <v/>
      </c>
      <c r="F62" s="6" t="inlineStr">
        <is>
          <t>측정 구간 (600-1000 K)</t>
        </is>
      </c>
    </row>
    <row r="63">
      <c r="A63" s="7" t="n">
        <v>1.56</v>
      </c>
      <c r="B63" s="12">
        <f>1000/A63</f>
        <v/>
      </c>
      <c r="C63" s="10">
        <f>Params!$E$8-(Params!$D$8/Params!$B$4)*(A63/1000)</f>
        <v/>
      </c>
      <c r="D63" s="10">
        <f>Params!$E$9-(Params!$D$9/Params!$B$4)*(A63/1000)</f>
        <v/>
      </c>
      <c r="E63" s="10">
        <f>Params!$E$10-(Params!$D$10/Params!$B$4)*(A63/1000)</f>
        <v/>
      </c>
      <c r="F63" s="6" t="inlineStr">
        <is>
          <t>측정 구간 (600-1000 K)</t>
        </is>
      </c>
    </row>
    <row r="64">
      <c r="A64" s="7" t="n">
        <v>1.57</v>
      </c>
      <c r="B64" s="12">
        <f>1000/A64</f>
        <v/>
      </c>
      <c r="C64" s="10">
        <f>Params!$E$8-(Params!$D$8/Params!$B$4)*(A64/1000)</f>
        <v/>
      </c>
      <c r="D64" s="10">
        <f>Params!$E$9-(Params!$D$9/Params!$B$4)*(A64/1000)</f>
        <v/>
      </c>
      <c r="E64" s="10">
        <f>Params!$E$10-(Params!$D$10/Params!$B$4)*(A64/1000)</f>
        <v/>
      </c>
      <c r="F64" s="6" t="inlineStr">
        <is>
          <t>측정 구간 (600-1000 K)</t>
        </is>
      </c>
    </row>
    <row r="65">
      <c r="A65" s="7" t="n">
        <v>1.58</v>
      </c>
      <c r="B65" s="12">
        <f>1000/A65</f>
        <v/>
      </c>
      <c r="C65" s="10">
        <f>Params!$E$8-(Params!$D$8/Params!$B$4)*(A65/1000)</f>
        <v/>
      </c>
      <c r="D65" s="10">
        <f>Params!$E$9-(Params!$D$9/Params!$B$4)*(A65/1000)</f>
        <v/>
      </c>
      <c r="E65" s="10">
        <f>Params!$E$10-(Params!$D$10/Params!$B$4)*(A65/1000)</f>
        <v/>
      </c>
      <c r="F65" s="6" t="inlineStr">
        <is>
          <t>측정 구간 (600-1000 K)</t>
        </is>
      </c>
    </row>
    <row r="66">
      <c r="A66" s="7" t="n">
        <v>1.59</v>
      </c>
      <c r="B66" s="12">
        <f>1000/A66</f>
        <v/>
      </c>
      <c r="C66" s="10">
        <f>Params!$E$8-(Params!$D$8/Params!$B$4)*(A66/1000)</f>
        <v/>
      </c>
      <c r="D66" s="10">
        <f>Params!$E$9-(Params!$D$9/Params!$B$4)*(A66/1000)</f>
        <v/>
      </c>
      <c r="E66" s="10">
        <f>Params!$E$10-(Params!$D$10/Params!$B$4)*(A66/1000)</f>
        <v/>
      </c>
      <c r="F66" s="6" t="inlineStr">
        <is>
          <t>측정 구간 (600-1000 K)</t>
        </is>
      </c>
    </row>
    <row r="67">
      <c r="A67" s="7" t="n">
        <v>1.6</v>
      </c>
      <c r="B67" s="12">
        <f>1000/A67</f>
        <v/>
      </c>
      <c r="C67" s="10">
        <f>Params!$E$8-(Params!$D$8/Params!$B$4)*(A67/1000)</f>
        <v/>
      </c>
      <c r="D67" s="10">
        <f>Params!$E$9-(Params!$D$9/Params!$B$4)*(A67/1000)</f>
        <v/>
      </c>
      <c r="E67" s="10">
        <f>Params!$E$10-(Params!$D$10/Params!$B$4)*(A67/1000)</f>
        <v/>
      </c>
      <c r="F67" s="6" t="inlineStr">
        <is>
          <t>측정 구간 (600-1000 K)</t>
        </is>
      </c>
    </row>
    <row r="68">
      <c r="A68" s="7" t="n">
        <v>1.61</v>
      </c>
      <c r="B68" s="12">
        <f>1000/A68</f>
        <v/>
      </c>
      <c r="C68" s="10">
        <f>Params!$E$8-(Params!$D$8/Params!$B$4)*(A68/1000)</f>
        <v/>
      </c>
      <c r="D68" s="10">
        <f>Params!$E$9-(Params!$D$9/Params!$B$4)*(A68/1000)</f>
        <v/>
      </c>
      <c r="E68" s="10">
        <f>Params!$E$10-(Params!$D$10/Params!$B$4)*(A68/1000)</f>
        <v/>
      </c>
      <c r="F68" s="6" t="inlineStr">
        <is>
          <t>측정 구간 (600-1000 K)</t>
        </is>
      </c>
    </row>
    <row r="69">
      <c r="A69" s="7" t="n">
        <v>1.62</v>
      </c>
      <c r="B69" s="12">
        <f>1000/A69</f>
        <v/>
      </c>
      <c r="C69" s="10">
        <f>Params!$E$8-(Params!$D$8/Params!$B$4)*(A69/1000)</f>
        <v/>
      </c>
      <c r="D69" s="10">
        <f>Params!$E$9-(Params!$D$9/Params!$B$4)*(A69/1000)</f>
        <v/>
      </c>
      <c r="E69" s="10">
        <f>Params!$E$10-(Params!$D$10/Params!$B$4)*(A69/1000)</f>
        <v/>
      </c>
      <c r="F69" s="6" t="inlineStr">
        <is>
          <t>측정 구간 (600-1000 K)</t>
        </is>
      </c>
    </row>
    <row r="70">
      <c r="A70" s="7" t="n">
        <v>1.63</v>
      </c>
      <c r="B70" s="12">
        <f>1000/A70</f>
        <v/>
      </c>
      <c r="C70" s="10">
        <f>Params!$E$8-(Params!$D$8/Params!$B$4)*(A70/1000)</f>
        <v/>
      </c>
      <c r="D70" s="10">
        <f>Params!$E$9-(Params!$D$9/Params!$B$4)*(A70/1000)</f>
        <v/>
      </c>
      <c r="E70" s="10">
        <f>Params!$E$10-(Params!$D$10/Params!$B$4)*(A70/1000)</f>
        <v/>
      </c>
      <c r="F70" s="6" t="inlineStr">
        <is>
          <t>측정 구간 (600-1000 K)</t>
        </is>
      </c>
    </row>
    <row r="71">
      <c r="A71" s="7" t="n">
        <v>1.64</v>
      </c>
      <c r="B71" s="12">
        <f>1000/A71</f>
        <v/>
      </c>
      <c r="C71" s="10">
        <f>Params!$E$8-(Params!$D$8/Params!$B$4)*(A71/1000)</f>
        <v/>
      </c>
      <c r="D71" s="10">
        <f>Params!$E$9-(Params!$D$9/Params!$B$4)*(A71/1000)</f>
        <v/>
      </c>
      <c r="E71" s="10">
        <f>Params!$E$10-(Params!$D$10/Params!$B$4)*(A71/1000)</f>
        <v/>
      </c>
      <c r="F71" s="6" t="inlineStr">
        <is>
          <t>측정 구간 (600-1000 K)</t>
        </is>
      </c>
    </row>
    <row r="72">
      <c r="A72" s="7" t="n">
        <v>1.65</v>
      </c>
      <c r="B72" s="12">
        <f>1000/A72</f>
        <v/>
      </c>
      <c r="C72" s="10">
        <f>Params!$E$8-(Params!$D$8/Params!$B$4)*(A72/1000)</f>
        <v/>
      </c>
      <c r="D72" s="10">
        <f>Params!$E$9-(Params!$D$9/Params!$B$4)*(A72/1000)</f>
        <v/>
      </c>
      <c r="E72" s="10">
        <f>Params!$E$10-(Params!$D$10/Params!$B$4)*(A72/1000)</f>
        <v/>
      </c>
      <c r="F72" s="6" t="inlineStr">
        <is>
          <t>측정 구간 (600-1000 K)</t>
        </is>
      </c>
    </row>
    <row r="73">
      <c r="A73" s="7" t="n">
        <v>1.66</v>
      </c>
      <c r="B73" s="12">
        <f>1000/A73</f>
        <v/>
      </c>
      <c r="C73" s="10">
        <f>Params!$E$8-(Params!$D$8/Params!$B$4)*(A73/1000)</f>
        <v/>
      </c>
      <c r="D73" s="10">
        <f>Params!$E$9-(Params!$D$9/Params!$B$4)*(A73/1000)</f>
        <v/>
      </c>
      <c r="E73" s="10">
        <f>Params!$E$10-(Params!$D$10/Params!$B$4)*(A73/1000)</f>
        <v/>
      </c>
      <c r="F73" s="6" t="inlineStr">
        <is>
          <t>측정 구간 (600-1000 K)</t>
        </is>
      </c>
    </row>
    <row r="74">
      <c r="A74" s="7" t="n">
        <v>1.67</v>
      </c>
      <c r="B74" s="12">
        <f>1000/A74</f>
        <v/>
      </c>
      <c r="C74" s="10">
        <f>Params!$E$8-(Params!$D$8/Params!$B$4)*(A74/1000)</f>
        <v/>
      </c>
      <c r="D74" s="10">
        <f>Params!$E$9-(Params!$D$9/Params!$B$4)*(A74/1000)</f>
        <v/>
      </c>
      <c r="E74" s="10">
        <f>Params!$E$10-(Params!$D$10/Params!$B$4)*(A74/1000)</f>
        <v/>
      </c>
      <c r="F74" s="13" t="inlineStr">
        <is>
          <t>⚠ 외삽 (측정 밖)</t>
        </is>
      </c>
    </row>
    <row r="75">
      <c r="A75" s="7" t="n">
        <v>1.68</v>
      </c>
      <c r="B75" s="12">
        <f>1000/A75</f>
        <v/>
      </c>
      <c r="C75" s="10">
        <f>Params!$E$8-(Params!$D$8/Params!$B$4)*(A75/1000)</f>
        <v/>
      </c>
      <c r="D75" s="10">
        <f>Params!$E$9-(Params!$D$9/Params!$B$4)*(A75/1000)</f>
        <v/>
      </c>
      <c r="E75" s="10">
        <f>Params!$E$10-(Params!$D$10/Params!$B$4)*(A75/1000)</f>
        <v/>
      </c>
      <c r="F75" s="13" t="inlineStr">
        <is>
          <t>⚠ 외삽 (측정 밖)</t>
        </is>
      </c>
    </row>
    <row r="76">
      <c r="A76" s="7" t="n">
        <v>1.69</v>
      </c>
      <c r="B76" s="12">
        <f>1000/A76</f>
        <v/>
      </c>
      <c r="C76" s="10">
        <f>Params!$E$8-(Params!$D$8/Params!$B$4)*(A76/1000)</f>
        <v/>
      </c>
      <c r="D76" s="10">
        <f>Params!$E$9-(Params!$D$9/Params!$B$4)*(A76/1000)</f>
        <v/>
      </c>
      <c r="E76" s="10">
        <f>Params!$E$10-(Params!$D$10/Params!$B$4)*(A76/1000)</f>
        <v/>
      </c>
      <c r="F76" s="13" t="inlineStr">
        <is>
          <t>⚠ 외삽 (측정 밖)</t>
        </is>
      </c>
    </row>
    <row r="77">
      <c r="A77" s="7" t="n">
        <v>1.7</v>
      </c>
      <c r="B77" s="12">
        <f>1000/A77</f>
        <v/>
      </c>
      <c r="C77" s="10">
        <f>Params!$E$8-(Params!$D$8/Params!$B$4)*(A77/1000)</f>
        <v/>
      </c>
      <c r="D77" s="10">
        <f>Params!$E$9-(Params!$D$9/Params!$B$4)*(A77/1000)</f>
        <v/>
      </c>
      <c r="E77" s="10">
        <f>Params!$E$10-(Params!$D$10/Params!$B$4)*(A77/1000)</f>
        <v/>
      </c>
      <c r="F77" s="13" t="inlineStr">
        <is>
          <t>⚠ 외삽 (측정 밖)</t>
        </is>
      </c>
    </row>
    <row r="78">
      <c r="A78" s="7" t="n">
        <v>1.71</v>
      </c>
      <c r="B78" s="12">
        <f>1000/A78</f>
        <v/>
      </c>
      <c r="C78" s="10">
        <f>Params!$E$8-(Params!$D$8/Params!$B$4)*(A78/1000)</f>
        <v/>
      </c>
      <c r="D78" s="10">
        <f>Params!$E$9-(Params!$D$9/Params!$B$4)*(A78/1000)</f>
        <v/>
      </c>
      <c r="E78" s="10">
        <f>Params!$E$10-(Params!$D$10/Params!$B$4)*(A78/1000)</f>
        <v/>
      </c>
      <c r="F78" s="13" t="inlineStr">
        <is>
          <t>⚠ 외삽 (측정 밖)</t>
        </is>
      </c>
    </row>
    <row r="79">
      <c r="A79" s="7" t="n">
        <v>1.72</v>
      </c>
      <c r="B79" s="12">
        <f>1000/A79</f>
        <v/>
      </c>
      <c r="C79" s="10">
        <f>Params!$E$8-(Params!$D$8/Params!$B$4)*(A79/1000)</f>
        <v/>
      </c>
      <c r="D79" s="10">
        <f>Params!$E$9-(Params!$D$9/Params!$B$4)*(A79/1000)</f>
        <v/>
      </c>
      <c r="E79" s="10">
        <f>Params!$E$10-(Params!$D$10/Params!$B$4)*(A79/1000)</f>
        <v/>
      </c>
      <c r="F79" s="13" t="inlineStr">
        <is>
          <t>⚠ 외삽 (측정 밖)</t>
        </is>
      </c>
    </row>
    <row r="80">
      <c r="A80" s="7" t="n">
        <v>1.73</v>
      </c>
      <c r="B80" s="12">
        <f>1000/A80</f>
        <v/>
      </c>
      <c r="C80" s="10">
        <f>Params!$E$8-(Params!$D$8/Params!$B$4)*(A80/1000)</f>
        <v/>
      </c>
      <c r="D80" s="10">
        <f>Params!$E$9-(Params!$D$9/Params!$B$4)*(A80/1000)</f>
        <v/>
      </c>
      <c r="E80" s="10">
        <f>Params!$E$10-(Params!$D$10/Params!$B$4)*(A80/1000)</f>
        <v/>
      </c>
      <c r="F80" s="13" t="inlineStr">
        <is>
          <t>⚠ 외삽 (측정 밖)</t>
        </is>
      </c>
    </row>
    <row r="81">
      <c r="A81" s="7" t="n">
        <v>1.74</v>
      </c>
      <c r="B81" s="12">
        <f>1000/A81</f>
        <v/>
      </c>
      <c r="C81" s="10">
        <f>Params!$E$8-(Params!$D$8/Params!$B$4)*(A81/1000)</f>
        <v/>
      </c>
      <c r="D81" s="10">
        <f>Params!$E$9-(Params!$D$9/Params!$B$4)*(A81/1000)</f>
        <v/>
      </c>
      <c r="E81" s="10">
        <f>Params!$E$10-(Params!$D$10/Params!$B$4)*(A81/1000)</f>
        <v/>
      </c>
      <c r="F81" s="13" t="inlineStr">
        <is>
          <t>⚠ 외삽 (측정 밖)</t>
        </is>
      </c>
    </row>
    <row r="82">
      <c r="A82" s="7" t="n">
        <v>1.75</v>
      </c>
      <c r="B82" s="12">
        <f>1000/A82</f>
        <v/>
      </c>
      <c r="C82" s="10">
        <f>Params!$E$8-(Params!$D$8/Params!$B$4)*(A82/1000)</f>
        <v/>
      </c>
      <c r="D82" s="10">
        <f>Params!$E$9-(Params!$D$9/Params!$B$4)*(A82/1000)</f>
        <v/>
      </c>
      <c r="E82" s="10">
        <f>Params!$E$10-(Params!$D$10/Params!$B$4)*(A82/1000)</f>
        <v/>
      </c>
      <c r="F82" s="13" t="inlineStr">
        <is>
          <t>⚠ 외삽 (측정 밖)</t>
        </is>
      </c>
    </row>
    <row r="83">
      <c r="A83" s="7" t="n">
        <v>1.76</v>
      </c>
      <c r="B83" s="12">
        <f>1000/A83</f>
        <v/>
      </c>
      <c r="C83" s="10">
        <f>Params!$E$8-(Params!$D$8/Params!$B$4)*(A83/1000)</f>
        <v/>
      </c>
      <c r="D83" s="10">
        <f>Params!$E$9-(Params!$D$9/Params!$B$4)*(A83/1000)</f>
        <v/>
      </c>
      <c r="E83" s="10">
        <f>Params!$E$10-(Params!$D$10/Params!$B$4)*(A83/1000)</f>
        <v/>
      </c>
      <c r="F83" s="13" t="inlineStr">
        <is>
          <t>⚠ 외삽 (측정 밖)</t>
        </is>
      </c>
    </row>
    <row r="84">
      <c r="A84" s="7" t="n">
        <v>1.77</v>
      </c>
      <c r="B84" s="12">
        <f>1000/A84</f>
        <v/>
      </c>
      <c r="C84" s="10">
        <f>Params!$E$8-(Params!$D$8/Params!$B$4)*(A84/1000)</f>
        <v/>
      </c>
      <c r="D84" s="10">
        <f>Params!$E$9-(Params!$D$9/Params!$B$4)*(A84/1000)</f>
        <v/>
      </c>
      <c r="E84" s="10">
        <f>Params!$E$10-(Params!$D$10/Params!$B$4)*(A84/1000)</f>
        <v/>
      </c>
      <c r="F84" s="13" t="inlineStr">
        <is>
          <t>⚠ 외삽 (측정 밖)</t>
        </is>
      </c>
    </row>
    <row r="85">
      <c r="A85" s="7" t="n">
        <v>1.78</v>
      </c>
      <c r="B85" s="12">
        <f>1000/A85</f>
        <v/>
      </c>
      <c r="C85" s="10">
        <f>Params!$E$8-(Params!$D$8/Params!$B$4)*(A85/1000)</f>
        <v/>
      </c>
      <c r="D85" s="10">
        <f>Params!$E$9-(Params!$D$9/Params!$B$4)*(A85/1000)</f>
        <v/>
      </c>
      <c r="E85" s="10">
        <f>Params!$E$10-(Params!$D$10/Params!$B$4)*(A85/1000)</f>
        <v/>
      </c>
      <c r="F85" s="13" t="inlineStr">
        <is>
          <t>⚠ 외삽 (측정 밖)</t>
        </is>
      </c>
    </row>
    <row r="86">
      <c r="A86" s="7" t="n">
        <v>1.79</v>
      </c>
      <c r="B86" s="12">
        <f>1000/A86</f>
        <v/>
      </c>
      <c r="C86" s="10">
        <f>Params!$E$8-(Params!$D$8/Params!$B$4)*(A86/1000)</f>
        <v/>
      </c>
      <c r="D86" s="10">
        <f>Params!$E$9-(Params!$D$9/Params!$B$4)*(A86/1000)</f>
        <v/>
      </c>
      <c r="E86" s="10">
        <f>Params!$E$10-(Params!$D$10/Params!$B$4)*(A86/1000)</f>
        <v/>
      </c>
      <c r="F86" s="13" t="inlineStr">
        <is>
          <t>⚠ 외삽 (측정 밖)</t>
        </is>
      </c>
    </row>
    <row r="87">
      <c r="A87" s="7" t="n">
        <v>1.8</v>
      </c>
      <c r="B87" s="12">
        <f>1000/A87</f>
        <v/>
      </c>
      <c r="C87" s="10">
        <f>Params!$E$8-(Params!$D$8/Params!$B$4)*(A87/1000)</f>
        <v/>
      </c>
      <c r="D87" s="10">
        <f>Params!$E$9-(Params!$D$9/Params!$B$4)*(A87/1000)</f>
        <v/>
      </c>
      <c r="E87" s="10">
        <f>Params!$E$10-(Params!$D$10/Params!$B$4)*(A87/1000)</f>
        <v/>
      </c>
      <c r="F87" s="13" t="inlineStr">
        <is>
          <t>⚠ 외삽 (측정 밖)</t>
        </is>
      </c>
    </row>
    <row r="88">
      <c r="A88" s="7" t="n">
        <v>1.81</v>
      </c>
      <c r="B88" s="12">
        <f>1000/A88</f>
        <v/>
      </c>
      <c r="C88" s="10">
        <f>Params!$E$8-(Params!$D$8/Params!$B$4)*(A88/1000)</f>
        <v/>
      </c>
      <c r="D88" s="10">
        <f>Params!$E$9-(Params!$D$9/Params!$B$4)*(A88/1000)</f>
        <v/>
      </c>
      <c r="E88" s="10">
        <f>Params!$E$10-(Params!$D$10/Params!$B$4)*(A88/1000)</f>
        <v/>
      </c>
      <c r="F88" s="13" t="inlineStr">
        <is>
          <t>⚠ 외삽 (측정 밖)</t>
        </is>
      </c>
    </row>
    <row r="89">
      <c r="A89" s="7" t="n">
        <v>1.82</v>
      </c>
      <c r="B89" s="12">
        <f>1000/A89</f>
        <v/>
      </c>
      <c r="C89" s="10">
        <f>Params!$E$8-(Params!$D$8/Params!$B$4)*(A89/1000)</f>
        <v/>
      </c>
      <c r="D89" s="10">
        <f>Params!$E$9-(Params!$D$9/Params!$B$4)*(A89/1000)</f>
        <v/>
      </c>
      <c r="E89" s="10">
        <f>Params!$E$10-(Params!$D$10/Params!$B$4)*(A89/1000)</f>
        <v/>
      </c>
      <c r="F89" s="13" t="inlineStr">
        <is>
          <t>⚠ 외삽 (측정 밖)</t>
        </is>
      </c>
    </row>
    <row r="90">
      <c r="A90" s="7" t="n">
        <v>1.83</v>
      </c>
      <c r="B90" s="12">
        <f>1000/A90</f>
        <v/>
      </c>
      <c r="C90" s="10">
        <f>Params!$E$8-(Params!$D$8/Params!$B$4)*(A90/1000)</f>
        <v/>
      </c>
      <c r="D90" s="10">
        <f>Params!$E$9-(Params!$D$9/Params!$B$4)*(A90/1000)</f>
        <v/>
      </c>
      <c r="E90" s="10">
        <f>Params!$E$10-(Params!$D$10/Params!$B$4)*(A90/1000)</f>
        <v/>
      </c>
      <c r="F90" s="13" t="inlineStr">
        <is>
          <t>⚠ 외삽 (측정 밖)</t>
        </is>
      </c>
    </row>
    <row r="91">
      <c r="A91" s="7" t="n">
        <v>1.84</v>
      </c>
      <c r="B91" s="12">
        <f>1000/A91</f>
        <v/>
      </c>
      <c r="C91" s="10">
        <f>Params!$E$8-(Params!$D$8/Params!$B$4)*(A91/1000)</f>
        <v/>
      </c>
      <c r="D91" s="10">
        <f>Params!$E$9-(Params!$D$9/Params!$B$4)*(A91/1000)</f>
        <v/>
      </c>
      <c r="E91" s="10">
        <f>Params!$E$10-(Params!$D$10/Params!$B$4)*(A91/1000)</f>
        <v/>
      </c>
      <c r="F91" s="13" t="inlineStr">
        <is>
          <t>⚠ 외삽 (측정 밖)</t>
        </is>
      </c>
    </row>
    <row r="92">
      <c r="A92" s="7" t="n">
        <v>1.85</v>
      </c>
      <c r="B92" s="12">
        <f>1000/A92</f>
        <v/>
      </c>
      <c r="C92" s="10">
        <f>Params!$E$8-(Params!$D$8/Params!$B$4)*(A92/1000)</f>
        <v/>
      </c>
      <c r="D92" s="10">
        <f>Params!$E$9-(Params!$D$9/Params!$B$4)*(A92/1000)</f>
        <v/>
      </c>
      <c r="E92" s="10">
        <f>Params!$E$10-(Params!$D$10/Params!$B$4)*(A92/1000)</f>
        <v/>
      </c>
      <c r="F92" s="13" t="inlineStr">
        <is>
          <t>⚠ 외삽 (측정 밖)</t>
        </is>
      </c>
    </row>
    <row r="93">
      <c r="A93" s="7" t="n">
        <v>1.86</v>
      </c>
      <c r="B93" s="12">
        <f>1000/A93</f>
        <v/>
      </c>
      <c r="C93" s="10">
        <f>Params!$E$8-(Params!$D$8/Params!$B$4)*(A93/1000)</f>
        <v/>
      </c>
      <c r="D93" s="10">
        <f>Params!$E$9-(Params!$D$9/Params!$B$4)*(A93/1000)</f>
        <v/>
      </c>
      <c r="E93" s="10">
        <f>Params!$E$10-(Params!$D$10/Params!$B$4)*(A93/1000)</f>
        <v/>
      </c>
      <c r="F93" s="13" t="inlineStr">
        <is>
          <t>⚠ 외삽 (측정 밖)</t>
        </is>
      </c>
    </row>
    <row r="94">
      <c r="A94" s="7" t="n">
        <v>1.87</v>
      </c>
      <c r="B94" s="12">
        <f>1000/A94</f>
        <v/>
      </c>
      <c r="C94" s="10">
        <f>Params!$E$8-(Params!$D$8/Params!$B$4)*(A94/1000)</f>
        <v/>
      </c>
      <c r="D94" s="10">
        <f>Params!$E$9-(Params!$D$9/Params!$B$4)*(A94/1000)</f>
        <v/>
      </c>
      <c r="E94" s="10">
        <f>Params!$E$10-(Params!$D$10/Params!$B$4)*(A94/1000)</f>
        <v/>
      </c>
      <c r="F94" s="13" t="inlineStr">
        <is>
          <t>⚠ 외삽 (측정 밖)</t>
        </is>
      </c>
    </row>
    <row r="95">
      <c r="A95" s="7" t="n">
        <v>1.88</v>
      </c>
      <c r="B95" s="12">
        <f>1000/A95</f>
        <v/>
      </c>
      <c r="C95" s="10">
        <f>Params!$E$8-(Params!$D$8/Params!$B$4)*(A95/1000)</f>
        <v/>
      </c>
      <c r="D95" s="10">
        <f>Params!$E$9-(Params!$D$9/Params!$B$4)*(A95/1000)</f>
        <v/>
      </c>
      <c r="E95" s="10">
        <f>Params!$E$10-(Params!$D$10/Params!$B$4)*(A95/1000)</f>
        <v/>
      </c>
      <c r="F95" s="13" t="inlineStr">
        <is>
          <t>⚠ 외삽 (측정 밖)</t>
        </is>
      </c>
    </row>
    <row r="96">
      <c r="A96" s="7" t="n">
        <v>1.89</v>
      </c>
      <c r="B96" s="12">
        <f>1000/A96</f>
        <v/>
      </c>
      <c r="C96" s="10">
        <f>Params!$E$8-(Params!$D$8/Params!$B$4)*(A96/1000)</f>
        <v/>
      </c>
      <c r="D96" s="10">
        <f>Params!$E$9-(Params!$D$9/Params!$B$4)*(A96/1000)</f>
        <v/>
      </c>
      <c r="E96" s="10">
        <f>Params!$E$10-(Params!$D$10/Params!$B$4)*(A96/1000)</f>
        <v/>
      </c>
      <c r="F96" s="13" t="inlineStr">
        <is>
          <t>⚠ 외삽 (측정 밖)</t>
        </is>
      </c>
    </row>
    <row r="97">
      <c r="A97" s="7" t="n">
        <v>1.9</v>
      </c>
      <c r="B97" s="12">
        <f>1000/A97</f>
        <v/>
      </c>
      <c r="C97" s="10">
        <f>Params!$E$8-(Params!$D$8/Params!$B$4)*(A97/1000)</f>
        <v/>
      </c>
      <c r="D97" s="10">
        <f>Params!$E$9-(Params!$D$9/Params!$B$4)*(A97/1000)</f>
        <v/>
      </c>
      <c r="E97" s="10">
        <f>Params!$E$10-(Params!$D$10/Params!$B$4)*(A97/1000)</f>
        <v/>
      </c>
      <c r="F97" s="13" t="inlineStr">
        <is>
          <t>⚠ 외삽 (측정 밖)</t>
        </is>
      </c>
    </row>
    <row r="98">
      <c r="A98" s="7" t="n">
        <v>1.91</v>
      </c>
      <c r="B98" s="12">
        <f>1000/A98</f>
        <v/>
      </c>
      <c r="C98" s="10">
        <f>Params!$E$8-(Params!$D$8/Params!$B$4)*(A98/1000)</f>
        <v/>
      </c>
      <c r="D98" s="10">
        <f>Params!$E$9-(Params!$D$9/Params!$B$4)*(A98/1000)</f>
        <v/>
      </c>
      <c r="E98" s="10">
        <f>Params!$E$10-(Params!$D$10/Params!$B$4)*(A98/1000)</f>
        <v/>
      </c>
      <c r="F98" s="13" t="inlineStr">
        <is>
          <t>⚠ 외삽 (측정 밖)</t>
        </is>
      </c>
    </row>
    <row r="99">
      <c r="A99" s="7" t="n">
        <v>1.92</v>
      </c>
      <c r="B99" s="12">
        <f>1000/A99</f>
        <v/>
      </c>
      <c r="C99" s="10">
        <f>Params!$E$8-(Params!$D$8/Params!$B$4)*(A99/1000)</f>
        <v/>
      </c>
      <c r="D99" s="10">
        <f>Params!$E$9-(Params!$D$9/Params!$B$4)*(A99/1000)</f>
        <v/>
      </c>
      <c r="E99" s="10">
        <f>Params!$E$10-(Params!$D$10/Params!$B$4)*(A99/1000)</f>
        <v/>
      </c>
      <c r="F99" s="13" t="inlineStr">
        <is>
          <t>⚠ 외삽 (측정 밖)</t>
        </is>
      </c>
    </row>
    <row r="100">
      <c r="A100" s="7" t="n">
        <v>1.93</v>
      </c>
      <c r="B100" s="12">
        <f>1000/A100</f>
        <v/>
      </c>
      <c r="C100" s="10">
        <f>Params!$E$8-(Params!$D$8/Params!$B$4)*(A100/1000)</f>
        <v/>
      </c>
      <c r="D100" s="10">
        <f>Params!$E$9-(Params!$D$9/Params!$B$4)*(A100/1000)</f>
        <v/>
      </c>
      <c r="E100" s="10">
        <f>Params!$E$10-(Params!$D$10/Params!$B$4)*(A100/1000)</f>
        <v/>
      </c>
      <c r="F100" s="13" t="inlineStr">
        <is>
          <t>⚠ 외삽 (측정 밖)</t>
        </is>
      </c>
    </row>
    <row r="101">
      <c r="A101" s="7" t="n">
        <v>1.94</v>
      </c>
      <c r="B101" s="12">
        <f>1000/A101</f>
        <v/>
      </c>
      <c r="C101" s="10">
        <f>Params!$E$8-(Params!$D$8/Params!$B$4)*(A101/1000)</f>
        <v/>
      </c>
      <c r="D101" s="10">
        <f>Params!$E$9-(Params!$D$9/Params!$B$4)*(A101/1000)</f>
        <v/>
      </c>
      <c r="E101" s="10">
        <f>Params!$E$10-(Params!$D$10/Params!$B$4)*(A101/1000)</f>
        <v/>
      </c>
      <c r="F101" s="13" t="inlineStr">
        <is>
          <t>⚠ 외삽 (측정 밖)</t>
        </is>
      </c>
    </row>
    <row r="102">
      <c r="A102" s="7" t="n">
        <v>1.95</v>
      </c>
      <c r="B102" s="12">
        <f>1000/A102</f>
        <v/>
      </c>
      <c r="C102" s="10">
        <f>Params!$E$8-(Params!$D$8/Params!$B$4)*(A102/1000)</f>
        <v/>
      </c>
      <c r="D102" s="10">
        <f>Params!$E$9-(Params!$D$9/Params!$B$4)*(A102/1000)</f>
        <v/>
      </c>
      <c r="E102" s="10">
        <f>Params!$E$10-(Params!$D$10/Params!$B$4)*(A102/1000)</f>
        <v/>
      </c>
      <c r="F102" s="13" t="inlineStr">
        <is>
          <t>⚠ 외삽 (측정 밖)</t>
        </is>
      </c>
    </row>
    <row r="103">
      <c r="A103" s="7" t="n">
        <v>1.96</v>
      </c>
      <c r="B103" s="12">
        <f>1000/A103</f>
        <v/>
      </c>
      <c r="C103" s="10">
        <f>Params!$E$8-(Params!$D$8/Params!$B$4)*(A103/1000)</f>
        <v/>
      </c>
      <c r="D103" s="10">
        <f>Params!$E$9-(Params!$D$9/Params!$B$4)*(A103/1000)</f>
        <v/>
      </c>
      <c r="E103" s="10">
        <f>Params!$E$10-(Params!$D$10/Params!$B$4)*(A103/1000)</f>
        <v/>
      </c>
      <c r="F103" s="13" t="inlineStr">
        <is>
          <t>⚠ 외삽 (측정 밖)</t>
        </is>
      </c>
    </row>
    <row r="104">
      <c r="A104" s="7" t="n">
        <v>1.97</v>
      </c>
      <c r="B104" s="12">
        <f>1000/A104</f>
        <v/>
      </c>
      <c r="C104" s="10">
        <f>Params!$E$8-(Params!$D$8/Params!$B$4)*(A104/1000)</f>
        <v/>
      </c>
      <c r="D104" s="10">
        <f>Params!$E$9-(Params!$D$9/Params!$B$4)*(A104/1000)</f>
        <v/>
      </c>
      <c r="E104" s="10">
        <f>Params!$E$10-(Params!$D$10/Params!$B$4)*(A104/1000)</f>
        <v/>
      </c>
      <c r="F104" s="13" t="inlineStr">
        <is>
          <t>⚠ 외삽 (측정 밖)</t>
        </is>
      </c>
    </row>
    <row r="105">
      <c r="A105" s="7" t="n">
        <v>1.98</v>
      </c>
      <c r="B105" s="12">
        <f>1000/A105</f>
        <v/>
      </c>
      <c r="C105" s="10">
        <f>Params!$E$8-(Params!$D$8/Params!$B$4)*(A105/1000)</f>
        <v/>
      </c>
      <c r="D105" s="10">
        <f>Params!$E$9-(Params!$D$9/Params!$B$4)*(A105/1000)</f>
        <v/>
      </c>
      <c r="E105" s="10">
        <f>Params!$E$10-(Params!$D$10/Params!$B$4)*(A105/1000)</f>
        <v/>
      </c>
      <c r="F105" s="13" t="inlineStr">
        <is>
          <t>⚠ 외삽 (측정 밖)</t>
        </is>
      </c>
    </row>
    <row r="106">
      <c r="A106" s="7" t="n">
        <v>1.99</v>
      </c>
      <c r="B106" s="12">
        <f>1000/A106</f>
        <v/>
      </c>
      <c r="C106" s="10">
        <f>Params!$E$8-(Params!$D$8/Params!$B$4)*(A106/1000)</f>
        <v/>
      </c>
      <c r="D106" s="10">
        <f>Params!$E$9-(Params!$D$9/Params!$B$4)*(A106/1000)</f>
        <v/>
      </c>
      <c r="E106" s="10">
        <f>Params!$E$10-(Params!$D$10/Params!$B$4)*(A106/1000)</f>
        <v/>
      </c>
      <c r="F106" s="13" t="inlineStr">
        <is>
          <t>⚠ 외삽 (측정 밖)</t>
        </is>
      </c>
    </row>
    <row r="107">
      <c r="A107" s="7" t="n">
        <v>2</v>
      </c>
      <c r="B107" s="12">
        <f>1000/A107</f>
        <v/>
      </c>
      <c r="C107" s="10">
        <f>Params!$E$8-(Params!$D$8/Params!$B$4)*(A107/1000)</f>
        <v/>
      </c>
      <c r="D107" s="10">
        <f>Params!$E$9-(Params!$D$9/Params!$B$4)*(A107/1000)</f>
        <v/>
      </c>
      <c r="E107" s="10">
        <f>Params!$E$10-(Params!$D$10/Params!$B$4)*(A107/1000)</f>
        <v/>
      </c>
      <c r="F107" s="13" t="inlineStr">
        <is>
          <t>⚠ 외삽 (측정 밖)</t>
        </is>
      </c>
    </row>
    <row r="108">
      <c r="A108" s="7" t="n">
        <v>2.01</v>
      </c>
      <c r="B108" s="12">
        <f>1000/A108</f>
        <v/>
      </c>
      <c r="C108" s="10">
        <f>Params!$E$8-(Params!$D$8/Params!$B$4)*(A108/1000)</f>
        <v/>
      </c>
      <c r="D108" s="10">
        <f>Params!$E$9-(Params!$D$9/Params!$B$4)*(A108/1000)</f>
        <v/>
      </c>
      <c r="E108" s="10">
        <f>Params!$E$10-(Params!$D$10/Params!$B$4)*(A108/1000)</f>
        <v/>
      </c>
      <c r="F108" s="13" t="inlineStr">
        <is>
          <t>⚠ 외삽 (측정 밖)</t>
        </is>
      </c>
    </row>
    <row r="109">
      <c r="A109" s="7" t="n">
        <v>2.02</v>
      </c>
      <c r="B109" s="12">
        <f>1000/A109</f>
        <v/>
      </c>
      <c r="C109" s="10">
        <f>Params!$E$8-(Params!$D$8/Params!$B$4)*(A109/1000)</f>
        <v/>
      </c>
      <c r="D109" s="10">
        <f>Params!$E$9-(Params!$D$9/Params!$B$4)*(A109/1000)</f>
        <v/>
      </c>
      <c r="E109" s="10">
        <f>Params!$E$10-(Params!$D$10/Params!$B$4)*(A109/1000)</f>
        <v/>
      </c>
      <c r="F109" s="13" t="inlineStr">
        <is>
          <t>⚠ 외삽 (측정 밖)</t>
        </is>
      </c>
    </row>
    <row r="110">
      <c r="A110" s="7" t="n">
        <v>2.03</v>
      </c>
      <c r="B110" s="12">
        <f>1000/A110</f>
        <v/>
      </c>
      <c r="C110" s="10">
        <f>Params!$E$8-(Params!$D$8/Params!$B$4)*(A110/1000)</f>
        <v/>
      </c>
      <c r="D110" s="10">
        <f>Params!$E$9-(Params!$D$9/Params!$B$4)*(A110/1000)</f>
        <v/>
      </c>
      <c r="E110" s="10">
        <f>Params!$E$10-(Params!$D$10/Params!$B$4)*(A110/1000)</f>
        <v/>
      </c>
      <c r="F110" s="13" t="inlineStr">
        <is>
          <t>⚠ 외삽 (측정 밖)</t>
        </is>
      </c>
    </row>
    <row r="111">
      <c r="A111" s="7" t="n">
        <v>2.04</v>
      </c>
      <c r="B111" s="12">
        <f>1000/A111</f>
        <v/>
      </c>
      <c r="C111" s="10">
        <f>Params!$E$8-(Params!$D$8/Params!$B$4)*(A111/1000)</f>
        <v/>
      </c>
      <c r="D111" s="10">
        <f>Params!$E$9-(Params!$D$9/Params!$B$4)*(A111/1000)</f>
        <v/>
      </c>
      <c r="E111" s="10">
        <f>Params!$E$10-(Params!$D$10/Params!$B$4)*(A111/1000)</f>
        <v/>
      </c>
      <c r="F111" s="13" t="inlineStr">
        <is>
          <t>⚠ 외삽 (측정 밖)</t>
        </is>
      </c>
    </row>
    <row r="112">
      <c r="A112" s="7" t="n">
        <v>2.05</v>
      </c>
      <c r="B112" s="12">
        <f>1000/A112</f>
        <v/>
      </c>
      <c r="C112" s="10">
        <f>Params!$E$8-(Params!$D$8/Params!$B$4)*(A112/1000)</f>
        <v/>
      </c>
      <c r="D112" s="10">
        <f>Params!$E$9-(Params!$D$9/Params!$B$4)*(A112/1000)</f>
        <v/>
      </c>
      <c r="E112" s="10">
        <f>Params!$E$10-(Params!$D$10/Params!$B$4)*(A112/1000)</f>
        <v/>
      </c>
      <c r="F112" s="13" t="inlineStr">
        <is>
          <t>⚠ 외삽 (측정 밖)</t>
        </is>
      </c>
    </row>
    <row r="113">
      <c r="A113" s="7" t="n">
        <v>2.06</v>
      </c>
      <c r="B113" s="12">
        <f>1000/A113</f>
        <v/>
      </c>
      <c r="C113" s="10">
        <f>Params!$E$8-(Params!$D$8/Params!$B$4)*(A113/1000)</f>
        <v/>
      </c>
      <c r="D113" s="10">
        <f>Params!$E$9-(Params!$D$9/Params!$B$4)*(A113/1000)</f>
        <v/>
      </c>
      <c r="E113" s="10">
        <f>Params!$E$10-(Params!$D$10/Params!$B$4)*(A113/1000)</f>
        <v/>
      </c>
      <c r="F113" s="13" t="inlineStr">
        <is>
          <t>⚠ 외삽 (측정 밖)</t>
        </is>
      </c>
    </row>
    <row r="114">
      <c r="A114" s="7" t="n">
        <v>2.07</v>
      </c>
      <c r="B114" s="12">
        <f>1000/A114</f>
        <v/>
      </c>
      <c r="C114" s="10">
        <f>Params!$E$8-(Params!$D$8/Params!$B$4)*(A114/1000)</f>
        <v/>
      </c>
      <c r="D114" s="10">
        <f>Params!$E$9-(Params!$D$9/Params!$B$4)*(A114/1000)</f>
        <v/>
      </c>
      <c r="E114" s="10">
        <f>Params!$E$10-(Params!$D$10/Params!$B$4)*(A114/1000)</f>
        <v/>
      </c>
      <c r="F114" s="13" t="inlineStr">
        <is>
          <t>⚠ 외삽 (측정 밖)</t>
        </is>
      </c>
    </row>
    <row r="115">
      <c r="A115" s="7" t="n">
        <v>2.08</v>
      </c>
      <c r="B115" s="12">
        <f>1000/A115</f>
        <v/>
      </c>
      <c r="C115" s="10">
        <f>Params!$E$8-(Params!$D$8/Params!$B$4)*(A115/1000)</f>
        <v/>
      </c>
      <c r="D115" s="10">
        <f>Params!$E$9-(Params!$D$9/Params!$B$4)*(A115/1000)</f>
        <v/>
      </c>
      <c r="E115" s="10">
        <f>Params!$E$10-(Params!$D$10/Params!$B$4)*(A115/1000)</f>
        <v/>
      </c>
      <c r="F115" s="13" t="inlineStr">
        <is>
          <t>⚠ 외삽 (측정 밖)</t>
        </is>
      </c>
    </row>
    <row r="116">
      <c r="A116" s="7" t="n">
        <v>2.09</v>
      </c>
      <c r="B116" s="12">
        <f>1000/A116</f>
        <v/>
      </c>
      <c r="C116" s="10">
        <f>Params!$E$8-(Params!$D$8/Params!$B$4)*(A116/1000)</f>
        <v/>
      </c>
      <c r="D116" s="10">
        <f>Params!$E$9-(Params!$D$9/Params!$B$4)*(A116/1000)</f>
        <v/>
      </c>
      <c r="E116" s="10">
        <f>Params!$E$10-(Params!$D$10/Params!$B$4)*(A116/1000)</f>
        <v/>
      </c>
      <c r="F116" s="13" t="inlineStr">
        <is>
          <t>⚠ 외삽 (측정 밖)</t>
        </is>
      </c>
    </row>
    <row r="117">
      <c r="A117" s="7" t="n">
        <v>2.1</v>
      </c>
      <c r="B117" s="12">
        <f>1000/A117</f>
        <v/>
      </c>
      <c r="C117" s="10">
        <f>Params!$E$8-(Params!$D$8/Params!$B$4)*(A117/1000)</f>
        <v/>
      </c>
      <c r="D117" s="10">
        <f>Params!$E$9-(Params!$D$9/Params!$B$4)*(A117/1000)</f>
        <v/>
      </c>
      <c r="E117" s="10">
        <f>Params!$E$10-(Params!$D$10/Params!$B$4)*(A117/1000)</f>
        <v/>
      </c>
      <c r="F117" s="13" t="inlineStr">
        <is>
          <t>⚠ 외삽 (측정 밖)</t>
        </is>
      </c>
    </row>
    <row r="118">
      <c r="A118" s="7" t="n">
        <v>2.11</v>
      </c>
      <c r="B118" s="12">
        <f>1000/A118</f>
        <v/>
      </c>
      <c r="C118" s="10">
        <f>Params!$E$8-(Params!$D$8/Params!$B$4)*(A118/1000)</f>
        <v/>
      </c>
      <c r="D118" s="10">
        <f>Params!$E$9-(Params!$D$9/Params!$B$4)*(A118/1000)</f>
        <v/>
      </c>
      <c r="E118" s="10">
        <f>Params!$E$10-(Params!$D$10/Params!$B$4)*(A118/1000)</f>
        <v/>
      </c>
      <c r="F118" s="13" t="inlineStr">
        <is>
          <t>⚠ 외삽 (측정 밖)</t>
        </is>
      </c>
    </row>
    <row r="119">
      <c r="A119" s="7" t="n">
        <v>2.12</v>
      </c>
      <c r="B119" s="12">
        <f>1000/A119</f>
        <v/>
      </c>
      <c r="C119" s="10">
        <f>Params!$E$8-(Params!$D$8/Params!$B$4)*(A119/1000)</f>
        <v/>
      </c>
      <c r="D119" s="10">
        <f>Params!$E$9-(Params!$D$9/Params!$B$4)*(A119/1000)</f>
        <v/>
      </c>
      <c r="E119" s="10">
        <f>Params!$E$10-(Params!$D$10/Params!$B$4)*(A119/1000)</f>
        <v/>
      </c>
      <c r="F119" s="13" t="inlineStr">
        <is>
          <t>⚠ 외삽 (측정 밖)</t>
        </is>
      </c>
    </row>
    <row r="120">
      <c r="A120" s="7" t="n">
        <v>2.13</v>
      </c>
      <c r="B120" s="12">
        <f>1000/A120</f>
        <v/>
      </c>
      <c r="C120" s="10">
        <f>Params!$E$8-(Params!$D$8/Params!$B$4)*(A120/1000)</f>
        <v/>
      </c>
      <c r="D120" s="10">
        <f>Params!$E$9-(Params!$D$9/Params!$B$4)*(A120/1000)</f>
        <v/>
      </c>
      <c r="E120" s="10">
        <f>Params!$E$10-(Params!$D$10/Params!$B$4)*(A120/1000)</f>
        <v/>
      </c>
      <c r="F120" s="13" t="inlineStr">
        <is>
          <t>⚠ 외삽 (측정 밖)</t>
        </is>
      </c>
    </row>
    <row r="121">
      <c r="A121" s="7" t="n">
        <v>2.14</v>
      </c>
      <c r="B121" s="12">
        <f>1000/A121</f>
        <v/>
      </c>
      <c r="C121" s="10">
        <f>Params!$E$8-(Params!$D$8/Params!$B$4)*(A121/1000)</f>
        <v/>
      </c>
      <c r="D121" s="10">
        <f>Params!$E$9-(Params!$D$9/Params!$B$4)*(A121/1000)</f>
        <v/>
      </c>
      <c r="E121" s="10">
        <f>Params!$E$10-(Params!$D$10/Params!$B$4)*(A121/1000)</f>
        <v/>
      </c>
      <c r="F121" s="13" t="inlineStr">
        <is>
          <t>⚠ 외삽 (측정 밖)</t>
        </is>
      </c>
    </row>
    <row r="122">
      <c r="A122" s="7" t="n">
        <v>2.15</v>
      </c>
      <c r="B122" s="12">
        <f>1000/A122</f>
        <v/>
      </c>
      <c r="C122" s="10">
        <f>Params!$E$8-(Params!$D$8/Params!$B$4)*(A122/1000)</f>
        <v/>
      </c>
      <c r="D122" s="10">
        <f>Params!$E$9-(Params!$D$9/Params!$B$4)*(A122/1000)</f>
        <v/>
      </c>
      <c r="E122" s="10">
        <f>Params!$E$10-(Params!$D$10/Params!$B$4)*(A122/1000)</f>
        <v/>
      </c>
      <c r="F122" s="13" t="inlineStr">
        <is>
          <t>⚠ 외삽 (측정 밖)</t>
        </is>
      </c>
    </row>
    <row r="123">
      <c r="A123" s="7" t="n">
        <v>2.16</v>
      </c>
      <c r="B123" s="12">
        <f>1000/A123</f>
        <v/>
      </c>
      <c r="C123" s="10">
        <f>Params!$E$8-(Params!$D$8/Params!$B$4)*(A123/1000)</f>
        <v/>
      </c>
      <c r="D123" s="10">
        <f>Params!$E$9-(Params!$D$9/Params!$B$4)*(A123/1000)</f>
        <v/>
      </c>
      <c r="E123" s="10">
        <f>Params!$E$10-(Params!$D$10/Params!$B$4)*(A123/1000)</f>
        <v/>
      </c>
      <c r="F123" s="13" t="inlineStr">
        <is>
          <t>⚠ 외삽 (측정 밖)</t>
        </is>
      </c>
    </row>
    <row r="124">
      <c r="A124" s="7" t="n">
        <v>2.17</v>
      </c>
      <c r="B124" s="12">
        <f>1000/A124</f>
        <v/>
      </c>
      <c r="C124" s="10">
        <f>Params!$E$8-(Params!$D$8/Params!$B$4)*(A124/1000)</f>
        <v/>
      </c>
      <c r="D124" s="10">
        <f>Params!$E$9-(Params!$D$9/Params!$B$4)*(A124/1000)</f>
        <v/>
      </c>
      <c r="E124" s="10">
        <f>Params!$E$10-(Params!$D$10/Params!$B$4)*(A124/1000)</f>
        <v/>
      </c>
      <c r="F124" s="13" t="inlineStr">
        <is>
          <t>⚠ 외삽 (측정 밖)</t>
        </is>
      </c>
    </row>
    <row r="125">
      <c r="A125" s="7" t="n">
        <v>2.18</v>
      </c>
      <c r="B125" s="12">
        <f>1000/A125</f>
        <v/>
      </c>
      <c r="C125" s="10">
        <f>Params!$E$8-(Params!$D$8/Params!$B$4)*(A125/1000)</f>
        <v/>
      </c>
      <c r="D125" s="10">
        <f>Params!$E$9-(Params!$D$9/Params!$B$4)*(A125/1000)</f>
        <v/>
      </c>
      <c r="E125" s="10">
        <f>Params!$E$10-(Params!$D$10/Params!$B$4)*(A125/1000)</f>
        <v/>
      </c>
      <c r="F125" s="13" t="inlineStr">
        <is>
          <t>⚠ 외삽 (측정 밖)</t>
        </is>
      </c>
    </row>
    <row r="126">
      <c r="A126" s="7" t="n">
        <v>2.19</v>
      </c>
      <c r="B126" s="12">
        <f>1000/A126</f>
        <v/>
      </c>
      <c r="C126" s="10">
        <f>Params!$E$8-(Params!$D$8/Params!$B$4)*(A126/1000)</f>
        <v/>
      </c>
      <c r="D126" s="10">
        <f>Params!$E$9-(Params!$D$9/Params!$B$4)*(A126/1000)</f>
        <v/>
      </c>
      <c r="E126" s="10">
        <f>Params!$E$10-(Params!$D$10/Params!$B$4)*(A126/1000)</f>
        <v/>
      </c>
      <c r="F126" s="13" t="inlineStr">
        <is>
          <t>⚠ 외삽 (측정 밖)</t>
        </is>
      </c>
    </row>
    <row r="127">
      <c r="A127" s="7" t="n">
        <v>2.2</v>
      </c>
      <c r="B127" s="12">
        <f>1000/A127</f>
        <v/>
      </c>
      <c r="C127" s="10">
        <f>Params!$E$8-(Params!$D$8/Params!$B$4)*(A127/1000)</f>
        <v/>
      </c>
      <c r="D127" s="10">
        <f>Params!$E$9-(Params!$D$9/Params!$B$4)*(A127/1000)</f>
        <v/>
      </c>
      <c r="E127" s="10">
        <f>Params!$E$10-(Params!$D$10/Params!$B$4)*(A127/1000)</f>
        <v/>
      </c>
      <c r="F127" s="13" t="inlineStr">
        <is>
          <t>⚠ 외삽 (측정 밖)</t>
        </is>
      </c>
    </row>
    <row r="128">
      <c r="A128" s="7" t="n">
        <v>2.21</v>
      </c>
      <c r="B128" s="12">
        <f>1000/A128</f>
        <v/>
      </c>
      <c r="C128" s="10">
        <f>Params!$E$8-(Params!$D$8/Params!$B$4)*(A128/1000)</f>
        <v/>
      </c>
      <c r="D128" s="10">
        <f>Params!$E$9-(Params!$D$9/Params!$B$4)*(A128/1000)</f>
        <v/>
      </c>
      <c r="E128" s="10">
        <f>Params!$E$10-(Params!$D$10/Params!$B$4)*(A128/1000)</f>
        <v/>
      </c>
      <c r="F128" s="13" t="inlineStr">
        <is>
          <t>⚠ 외삽 (측정 밖)</t>
        </is>
      </c>
    </row>
    <row r="129">
      <c r="A129" s="7" t="n">
        <v>2.22</v>
      </c>
      <c r="B129" s="12">
        <f>1000/A129</f>
        <v/>
      </c>
      <c r="C129" s="10">
        <f>Params!$E$8-(Params!$D$8/Params!$B$4)*(A129/1000)</f>
        <v/>
      </c>
      <c r="D129" s="10">
        <f>Params!$E$9-(Params!$D$9/Params!$B$4)*(A129/1000)</f>
        <v/>
      </c>
      <c r="E129" s="10">
        <f>Params!$E$10-(Params!$D$10/Params!$B$4)*(A129/1000)</f>
        <v/>
      </c>
      <c r="F129" s="13" t="inlineStr">
        <is>
          <t>⚠ 외삽 (측정 밖)</t>
        </is>
      </c>
    </row>
    <row r="130">
      <c r="A130" s="7" t="n">
        <v>2.23</v>
      </c>
      <c r="B130" s="12">
        <f>1000/A130</f>
        <v/>
      </c>
      <c r="C130" s="10">
        <f>Params!$E$8-(Params!$D$8/Params!$B$4)*(A130/1000)</f>
        <v/>
      </c>
      <c r="D130" s="10">
        <f>Params!$E$9-(Params!$D$9/Params!$B$4)*(A130/1000)</f>
        <v/>
      </c>
      <c r="E130" s="10">
        <f>Params!$E$10-(Params!$D$10/Params!$B$4)*(A130/1000)</f>
        <v/>
      </c>
      <c r="F130" s="13" t="inlineStr">
        <is>
          <t>⚠ 외삽 (측정 밖)</t>
        </is>
      </c>
    </row>
    <row r="131">
      <c r="A131" s="7" t="n">
        <v>2.24</v>
      </c>
      <c r="B131" s="12">
        <f>1000/A131</f>
        <v/>
      </c>
      <c r="C131" s="10">
        <f>Params!$E$8-(Params!$D$8/Params!$B$4)*(A131/1000)</f>
        <v/>
      </c>
      <c r="D131" s="10">
        <f>Params!$E$9-(Params!$D$9/Params!$B$4)*(A131/1000)</f>
        <v/>
      </c>
      <c r="E131" s="10">
        <f>Params!$E$10-(Params!$D$10/Params!$B$4)*(A131/1000)</f>
        <v/>
      </c>
      <c r="F131" s="13" t="inlineStr">
        <is>
          <t>⚠ 외삽 (측정 밖)</t>
        </is>
      </c>
    </row>
    <row r="132">
      <c r="A132" s="7" t="n">
        <v>2.25</v>
      </c>
      <c r="B132" s="12">
        <f>1000/A132</f>
        <v/>
      </c>
      <c r="C132" s="10">
        <f>Params!$E$8-(Params!$D$8/Params!$B$4)*(A132/1000)</f>
        <v/>
      </c>
      <c r="D132" s="10">
        <f>Params!$E$9-(Params!$D$9/Params!$B$4)*(A132/1000)</f>
        <v/>
      </c>
      <c r="E132" s="10">
        <f>Params!$E$10-(Params!$D$10/Params!$B$4)*(A132/1000)</f>
        <v/>
      </c>
      <c r="F132" s="13" t="inlineStr">
        <is>
          <t>⚠ 외삽 (측정 밖)</t>
        </is>
      </c>
    </row>
    <row r="133">
      <c r="A133" s="7" t="n">
        <v>2.26</v>
      </c>
      <c r="B133" s="12">
        <f>1000/A133</f>
        <v/>
      </c>
      <c r="C133" s="10">
        <f>Params!$E$8-(Params!$D$8/Params!$B$4)*(A133/1000)</f>
        <v/>
      </c>
      <c r="D133" s="10">
        <f>Params!$E$9-(Params!$D$9/Params!$B$4)*(A133/1000)</f>
        <v/>
      </c>
      <c r="E133" s="10">
        <f>Params!$E$10-(Params!$D$10/Params!$B$4)*(A133/1000)</f>
        <v/>
      </c>
      <c r="F133" s="13" t="inlineStr">
        <is>
          <t>⚠ 외삽 (측정 밖)</t>
        </is>
      </c>
    </row>
    <row r="134">
      <c r="A134" s="7" t="n">
        <v>2.27</v>
      </c>
      <c r="B134" s="12">
        <f>1000/A134</f>
        <v/>
      </c>
      <c r="C134" s="10">
        <f>Params!$E$8-(Params!$D$8/Params!$B$4)*(A134/1000)</f>
        <v/>
      </c>
      <c r="D134" s="10">
        <f>Params!$E$9-(Params!$D$9/Params!$B$4)*(A134/1000)</f>
        <v/>
      </c>
      <c r="E134" s="10">
        <f>Params!$E$10-(Params!$D$10/Params!$B$4)*(A134/1000)</f>
        <v/>
      </c>
      <c r="F134" s="13" t="inlineStr">
        <is>
          <t>⚠ 외삽 (측정 밖)</t>
        </is>
      </c>
    </row>
    <row r="135">
      <c r="A135" s="7" t="n">
        <v>2.28</v>
      </c>
      <c r="B135" s="12">
        <f>1000/A135</f>
        <v/>
      </c>
      <c r="C135" s="10">
        <f>Params!$E$8-(Params!$D$8/Params!$B$4)*(A135/1000)</f>
        <v/>
      </c>
      <c r="D135" s="10">
        <f>Params!$E$9-(Params!$D$9/Params!$B$4)*(A135/1000)</f>
        <v/>
      </c>
      <c r="E135" s="10">
        <f>Params!$E$10-(Params!$D$10/Params!$B$4)*(A135/1000)</f>
        <v/>
      </c>
      <c r="F135" s="13" t="inlineStr">
        <is>
          <t>⚠ 외삽 (측정 밖)</t>
        </is>
      </c>
    </row>
    <row r="136">
      <c r="A136" s="7" t="n">
        <v>2.29</v>
      </c>
      <c r="B136" s="12">
        <f>1000/A136</f>
        <v/>
      </c>
      <c r="C136" s="10">
        <f>Params!$E$8-(Params!$D$8/Params!$B$4)*(A136/1000)</f>
        <v/>
      </c>
      <c r="D136" s="10">
        <f>Params!$E$9-(Params!$D$9/Params!$B$4)*(A136/1000)</f>
        <v/>
      </c>
      <c r="E136" s="10">
        <f>Params!$E$10-(Params!$D$10/Params!$B$4)*(A136/1000)</f>
        <v/>
      </c>
      <c r="F136" s="13" t="inlineStr">
        <is>
          <t>⚠ 외삽 (측정 밖)</t>
        </is>
      </c>
    </row>
    <row r="137">
      <c r="A137" s="7" t="n">
        <v>2.3</v>
      </c>
      <c r="B137" s="12">
        <f>1000/A137</f>
        <v/>
      </c>
      <c r="C137" s="10">
        <f>Params!$E$8-(Params!$D$8/Params!$B$4)*(A137/1000)</f>
        <v/>
      </c>
      <c r="D137" s="10">
        <f>Params!$E$9-(Params!$D$9/Params!$B$4)*(A137/1000)</f>
        <v/>
      </c>
      <c r="E137" s="10">
        <f>Params!$E$10-(Params!$D$10/Params!$B$4)*(A137/1000)</f>
        <v/>
      </c>
      <c r="F137" s="13" t="inlineStr">
        <is>
          <t>⚠ 외삽 (측정 밖)</t>
        </is>
      </c>
    </row>
    <row r="138">
      <c r="A138" s="7" t="n">
        <v>2.31</v>
      </c>
      <c r="B138" s="12">
        <f>1000/A138</f>
        <v/>
      </c>
      <c r="C138" s="10">
        <f>Params!$E$8-(Params!$D$8/Params!$B$4)*(A138/1000)</f>
        <v/>
      </c>
      <c r="D138" s="10">
        <f>Params!$E$9-(Params!$D$9/Params!$B$4)*(A138/1000)</f>
        <v/>
      </c>
      <c r="E138" s="10">
        <f>Params!$E$10-(Params!$D$10/Params!$B$4)*(A138/1000)</f>
        <v/>
      </c>
      <c r="F138" s="13" t="inlineStr">
        <is>
          <t>⚠ 외삽 (측정 밖)</t>
        </is>
      </c>
    </row>
    <row r="139">
      <c r="A139" s="7" t="n">
        <v>2.32</v>
      </c>
      <c r="B139" s="12">
        <f>1000/A139</f>
        <v/>
      </c>
      <c r="C139" s="10">
        <f>Params!$E$8-(Params!$D$8/Params!$B$4)*(A139/1000)</f>
        <v/>
      </c>
      <c r="D139" s="10">
        <f>Params!$E$9-(Params!$D$9/Params!$B$4)*(A139/1000)</f>
        <v/>
      </c>
      <c r="E139" s="10">
        <f>Params!$E$10-(Params!$D$10/Params!$B$4)*(A139/1000)</f>
        <v/>
      </c>
      <c r="F139" s="13" t="inlineStr">
        <is>
          <t>⚠ 외삽 (측정 밖)</t>
        </is>
      </c>
    </row>
    <row r="140">
      <c r="A140" s="7" t="n">
        <v>2.33</v>
      </c>
      <c r="B140" s="12">
        <f>1000/A140</f>
        <v/>
      </c>
      <c r="C140" s="10">
        <f>Params!$E$8-(Params!$D$8/Params!$B$4)*(A140/1000)</f>
        <v/>
      </c>
      <c r="D140" s="10">
        <f>Params!$E$9-(Params!$D$9/Params!$B$4)*(A140/1000)</f>
        <v/>
      </c>
      <c r="E140" s="10">
        <f>Params!$E$10-(Params!$D$10/Params!$B$4)*(A140/1000)</f>
        <v/>
      </c>
      <c r="F140" s="13" t="inlineStr">
        <is>
          <t>⚠ 외삽 (측정 밖)</t>
        </is>
      </c>
    </row>
    <row r="141">
      <c r="A141" s="7" t="n">
        <v>2.34</v>
      </c>
      <c r="B141" s="12">
        <f>1000/A141</f>
        <v/>
      </c>
      <c r="C141" s="10">
        <f>Params!$E$8-(Params!$D$8/Params!$B$4)*(A141/1000)</f>
        <v/>
      </c>
      <c r="D141" s="10">
        <f>Params!$E$9-(Params!$D$9/Params!$B$4)*(A141/1000)</f>
        <v/>
      </c>
      <c r="E141" s="10">
        <f>Params!$E$10-(Params!$D$10/Params!$B$4)*(A141/1000)</f>
        <v/>
      </c>
      <c r="F141" s="13" t="inlineStr">
        <is>
          <t>⚠ 외삽 (측정 밖)</t>
        </is>
      </c>
    </row>
    <row r="142">
      <c r="A142" s="7" t="n">
        <v>2.35</v>
      </c>
      <c r="B142" s="12">
        <f>1000/A142</f>
        <v/>
      </c>
      <c r="C142" s="10">
        <f>Params!$E$8-(Params!$D$8/Params!$B$4)*(A142/1000)</f>
        <v/>
      </c>
      <c r="D142" s="10">
        <f>Params!$E$9-(Params!$D$9/Params!$B$4)*(A142/1000)</f>
        <v/>
      </c>
      <c r="E142" s="10">
        <f>Params!$E$10-(Params!$D$10/Params!$B$4)*(A142/1000)</f>
        <v/>
      </c>
      <c r="F142" s="13" t="inlineStr">
        <is>
          <t>⚠ 외삽 (측정 밖)</t>
        </is>
      </c>
    </row>
    <row r="143">
      <c r="A143" s="7" t="n">
        <v>2.36</v>
      </c>
      <c r="B143" s="12">
        <f>1000/A143</f>
        <v/>
      </c>
      <c r="C143" s="10">
        <f>Params!$E$8-(Params!$D$8/Params!$B$4)*(A143/1000)</f>
        <v/>
      </c>
      <c r="D143" s="10">
        <f>Params!$E$9-(Params!$D$9/Params!$B$4)*(A143/1000)</f>
        <v/>
      </c>
      <c r="E143" s="10">
        <f>Params!$E$10-(Params!$D$10/Params!$B$4)*(A143/1000)</f>
        <v/>
      </c>
      <c r="F143" s="13" t="inlineStr">
        <is>
          <t>⚠ 외삽 (측정 밖)</t>
        </is>
      </c>
    </row>
    <row r="144">
      <c r="A144" s="7" t="n">
        <v>2.37</v>
      </c>
      <c r="B144" s="12">
        <f>1000/A144</f>
        <v/>
      </c>
      <c r="C144" s="10">
        <f>Params!$E$8-(Params!$D$8/Params!$B$4)*(A144/1000)</f>
        <v/>
      </c>
      <c r="D144" s="10">
        <f>Params!$E$9-(Params!$D$9/Params!$B$4)*(A144/1000)</f>
        <v/>
      </c>
      <c r="E144" s="10">
        <f>Params!$E$10-(Params!$D$10/Params!$B$4)*(A144/1000)</f>
        <v/>
      </c>
      <c r="F144" s="13" t="inlineStr">
        <is>
          <t>⚠ 외삽 (측정 밖)</t>
        </is>
      </c>
    </row>
    <row r="145">
      <c r="A145" s="7" t="n">
        <v>2.38</v>
      </c>
      <c r="B145" s="12">
        <f>1000/A145</f>
        <v/>
      </c>
      <c r="C145" s="10">
        <f>Params!$E$8-(Params!$D$8/Params!$B$4)*(A145/1000)</f>
        <v/>
      </c>
      <c r="D145" s="10">
        <f>Params!$E$9-(Params!$D$9/Params!$B$4)*(A145/1000)</f>
        <v/>
      </c>
      <c r="E145" s="10">
        <f>Params!$E$10-(Params!$D$10/Params!$B$4)*(A145/1000)</f>
        <v/>
      </c>
      <c r="F145" s="13" t="inlineStr">
        <is>
          <t>⚠ 외삽 (측정 밖)</t>
        </is>
      </c>
    </row>
    <row r="146">
      <c r="A146" s="7" t="n">
        <v>2.39</v>
      </c>
      <c r="B146" s="12">
        <f>1000/A146</f>
        <v/>
      </c>
      <c r="C146" s="10">
        <f>Params!$E$8-(Params!$D$8/Params!$B$4)*(A146/1000)</f>
        <v/>
      </c>
      <c r="D146" s="10">
        <f>Params!$E$9-(Params!$D$9/Params!$B$4)*(A146/1000)</f>
        <v/>
      </c>
      <c r="E146" s="10">
        <f>Params!$E$10-(Params!$D$10/Params!$B$4)*(A146/1000)</f>
        <v/>
      </c>
      <c r="F146" s="13" t="inlineStr">
        <is>
          <t>⚠ 외삽 (측정 밖)</t>
        </is>
      </c>
    </row>
    <row r="147">
      <c r="A147" s="7" t="n">
        <v>2.4</v>
      </c>
      <c r="B147" s="12">
        <f>1000/A147</f>
        <v/>
      </c>
      <c r="C147" s="10">
        <f>Params!$E$8-(Params!$D$8/Params!$B$4)*(A147/1000)</f>
        <v/>
      </c>
      <c r="D147" s="10">
        <f>Params!$E$9-(Params!$D$9/Params!$B$4)*(A147/1000)</f>
        <v/>
      </c>
      <c r="E147" s="10">
        <f>Params!$E$10-(Params!$D$10/Params!$B$4)*(A147/1000)</f>
        <v/>
      </c>
      <c r="F147" s="13" t="inlineStr">
        <is>
          <t>⚠ 외삽 (측정 밖)</t>
        </is>
      </c>
    </row>
    <row r="148">
      <c r="A148" s="7" t="n">
        <v>2.41</v>
      </c>
      <c r="B148" s="12">
        <f>1000/A148</f>
        <v/>
      </c>
      <c r="C148" s="10">
        <f>Params!$E$8-(Params!$D$8/Params!$B$4)*(A148/1000)</f>
        <v/>
      </c>
      <c r="D148" s="10">
        <f>Params!$E$9-(Params!$D$9/Params!$B$4)*(A148/1000)</f>
        <v/>
      </c>
      <c r="E148" s="10">
        <f>Params!$E$10-(Params!$D$10/Params!$B$4)*(A148/1000)</f>
        <v/>
      </c>
      <c r="F148" s="13" t="inlineStr">
        <is>
          <t>⚠ 외삽 (측정 밖)</t>
        </is>
      </c>
    </row>
    <row r="149">
      <c r="A149" s="7" t="n">
        <v>2.42</v>
      </c>
      <c r="B149" s="12">
        <f>1000/A149</f>
        <v/>
      </c>
      <c r="C149" s="10">
        <f>Params!$E$8-(Params!$D$8/Params!$B$4)*(A149/1000)</f>
        <v/>
      </c>
      <c r="D149" s="10">
        <f>Params!$E$9-(Params!$D$9/Params!$B$4)*(A149/1000)</f>
        <v/>
      </c>
      <c r="E149" s="10">
        <f>Params!$E$10-(Params!$D$10/Params!$B$4)*(A149/1000)</f>
        <v/>
      </c>
      <c r="F149" s="13" t="inlineStr">
        <is>
          <t>⚠ 외삽 (측정 밖)</t>
        </is>
      </c>
    </row>
    <row r="150">
      <c r="A150" s="7" t="n">
        <v>2.43</v>
      </c>
      <c r="B150" s="12">
        <f>1000/A150</f>
        <v/>
      </c>
      <c r="C150" s="10">
        <f>Params!$E$8-(Params!$D$8/Params!$B$4)*(A150/1000)</f>
        <v/>
      </c>
      <c r="D150" s="10">
        <f>Params!$E$9-(Params!$D$9/Params!$B$4)*(A150/1000)</f>
        <v/>
      </c>
      <c r="E150" s="10">
        <f>Params!$E$10-(Params!$D$10/Params!$B$4)*(A150/1000)</f>
        <v/>
      </c>
      <c r="F150" s="13" t="inlineStr">
        <is>
          <t>⚠ 외삽 (측정 밖)</t>
        </is>
      </c>
    </row>
    <row r="151">
      <c r="A151" s="7" t="n">
        <v>2.44</v>
      </c>
      <c r="B151" s="12">
        <f>1000/A151</f>
        <v/>
      </c>
      <c r="C151" s="10">
        <f>Params!$E$8-(Params!$D$8/Params!$B$4)*(A151/1000)</f>
        <v/>
      </c>
      <c r="D151" s="10">
        <f>Params!$E$9-(Params!$D$9/Params!$B$4)*(A151/1000)</f>
        <v/>
      </c>
      <c r="E151" s="10">
        <f>Params!$E$10-(Params!$D$10/Params!$B$4)*(A151/1000)</f>
        <v/>
      </c>
      <c r="F151" s="13" t="inlineStr">
        <is>
          <t>⚠ 외삽 (측정 밖)</t>
        </is>
      </c>
    </row>
    <row r="152">
      <c r="A152" s="7" t="n">
        <v>2.45</v>
      </c>
      <c r="B152" s="12">
        <f>1000/A152</f>
        <v/>
      </c>
      <c r="C152" s="10">
        <f>Params!$E$8-(Params!$D$8/Params!$B$4)*(A152/1000)</f>
        <v/>
      </c>
      <c r="D152" s="10">
        <f>Params!$E$9-(Params!$D$9/Params!$B$4)*(A152/1000)</f>
        <v/>
      </c>
      <c r="E152" s="10">
        <f>Params!$E$10-(Params!$D$10/Params!$B$4)*(A152/1000)</f>
        <v/>
      </c>
      <c r="F152" s="13" t="inlineStr">
        <is>
          <t>⚠ 외삽 (측정 밖)</t>
        </is>
      </c>
    </row>
    <row r="153">
      <c r="A153" s="7" t="n">
        <v>2.46</v>
      </c>
      <c r="B153" s="12">
        <f>1000/A153</f>
        <v/>
      </c>
      <c r="C153" s="10">
        <f>Params!$E$8-(Params!$D$8/Params!$B$4)*(A153/1000)</f>
        <v/>
      </c>
      <c r="D153" s="10">
        <f>Params!$E$9-(Params!$D$9/Params!$B$4)*(A153/1000)</f>
        <v/>
      </c>
      <c r="E153" s="10">
        <f>Params!$E$10-(Params!$D$10/Params!$B$4)*(A153/1000)</f>
        <v/>
      </c>
      <c r="F153" s="13" t="inlineStr">
        <is>
          <t>⚠ 외삽 (측정 밖)</t>
        </is>
      </c>
    </row>
    <row r="154">
      <c r="A154" s="7" t="n">
        <v>2.47</v>
      </c>
      <c r="B154" s="12">
        <f>1000/A154</f>
        <v/>
      </c>
      <c r="C154" s="10">
        <f>Params!$E$8-(Params!$D$8/Params!$B$4)*(A154/1000)</f>
        <v/>
      </c>
      <c r="D154" s="10">
        <f>Params!$E$9-(Params!$D$9/Params!$B$4)*(A154/1000)</f>
        <v/>
      </c>
      <c r="E154" s="10">
        <f>Params!$E$10-(Params!$D$10/Params!$B$4)*(A154/1000)</f>
        <v/>
      </c>
      <c r="F154" s="13" t="inlineStr">
        <is>
          <t>⚠ 외삽 (측정 밖)</t>
        </is>
      </c>
    </row>
    <row r="155">
      <c r="A155" s="7" t="n">
        <v>2.48</v>
      </c>
      <c r="B155" s="12">
        <f>1000/A155</f>
        <v/>
      </c>
      <c r="C155" s="10">
        <f>Params!$E$8-(Params!$D$8/Params!$B$4)*(A155/1000)</f>
        <v/>
      </c>
      <c r="D155" s="10">
        <f>Params!$E$9-(Params!$D$9/Params!$B$4)*(A155/1000)</f>
        <v/>
      </c>
      <c r="E155" s="10">
        <f>Params!$E$10-(Params!$D$10/Params!$B$4)*(A155/1000)</f>
        <v/>
      </c>
      <c r="F155" s="13" t="inlineStr">
        <is>
          <t>⚠ 외삽 (측정 밖)</t>
        </is>
      </c>
    </row>
    <row r="156">
      <c r="A156" s="7" t="n">
        <v>2.49</v>
      </c>
      <c r="B156" s="12">
        <f>1000/A156</f>
        <v/>
      </c>
      <c r="C156" s="10">
        <f>Params!$E$8-(Params!$D$8/Params!$B$4)*(A156/1000)</f>
        <v/>
      </c>
      <c r="D156" s="10">
        <f>Params!$E$9-(Params!$D$9/Params!$B$4)*(A156/1000)</f>
        <v/>
      </c>
      <c r="E156" s="10">
        <f>Params!$E$10-(Params!$D$10/Params!$B$4)*(A156/1000)</f>
        <v/>
      </c>
      <c r="F156" s="13" t="inlineStr">
        <is>
          <t>⚠ 외삽 (측정 밖)</t>
        </is>
      </c>
    </row>
    <row r="157">
      <c r="A157" s="7" t="n">
        <v>2.5</v>
      </c>
      <c r="B157" s="12">
        <f>1000/A157</f>
        <v/>
      </c>
      <c r="C157" s="10">
        <f>Params!$E$8-(Params!$D$8/Params!$B$4)*(A157/1000)</f>
        <v/>
      </c>
      <c r="D157" s="10">
        <f>Params!$E$9-(Params!$D$9/Params!$B$4)*(A157/1000)</f>
        <v/>
      </c>
      <c r="E157" s="10">
        <f>Params!$E$10-(Params!$D$10/Params!$B$4)*(A157/1000)</f>
        <v/>
      </c>
      <c r="F157" s="13" t="inlineStr">
        <is>
          <t>⚠ 외삽 (측정 밖)</t>
        </is>
      </c>
    </row>
    <row r="158">
      <c r="A158" s="7" t="n">
        <v>2.51</v>
      </c>
      <c r="B158" s="12">
        <f>1000/A158</f>
        <v/>
      </c>
      <c r="C158" s="10">
        <f>Params!$E$8-(Params!$D$8/Params!$B$4)*(A158/1000)</f>
        <v/>
      </c>
      <c r="D158" s="10">
        <f>Params!$E$9-(Params!$D$9/Params!$B$4)*(A158/1000)</f>
        <v/>
      </c>
      <c r="E158" s="10">
        <f>Params!$E$10-(Params!$D$10/Params!$B$4)*(A158/1000)</f>
        <v/>
      </c>
      <c r="F158" s="13" t="inlineStr">
        <is>
          <t>⚠ 외삽 (측정 밖)</t>
        </is>
      </c>
    </row>
    <row r="159">
      <c r="A159" s="7" t="n">
        <v>2.52</v>
      </c>
      <c r="B159" s="12">
        <f>1000/A159</f>
        <v/>
      </c>
      <c r="C159" s="10">
        <f>Params!$E$8-(Params!$D$8/Params!$B$4)*(A159/1000)</f>
        <v/>
      </c>
      <c r="D159" s="10">
        <f>Params!$E$9-(Params!$D$9/Params!$B$4)*(A159/1000)</f>
        <v/>
      </c>
      <c r="E159" s="10">
        <f>Params!$E$10-(Params!$D$10/Params!$B$4)*(A159/1000)</f>
        <v/>
      </c>
      <c r="F159" s="13" t="inlineStr">
        <is>
          <t>⚠ 외삽 (측정 밖)</t>
        </is>
      </c>
    </row>
    <row r="160">
      <c r="A160" s="7" t="n">
        <v>2.53</v>
      </c>
      <c r="B160" s="12">
        <f>1000/A160</f>
        <v/>
      </c>
      <c r="C160" s="10">
        <f>Params!$E$8-(Params!$D$8/Params!$B$4)*(A160/1000)</f>
        <v/>
      </c>
      <c r="D160" s="10">
        <f>Params!$E$9-(Params!$D$9/Params!$B$4)*(A160/1000)</f>
        <v/>
      </c>
      <c r="E160" s="10">
        <f>Params!$E$10-(Params!$D$10/Params!$B$4)*(A160/1000)</f>
        <v/>
      </c>
      <c r="F160" s="13" t="inlineStr">
        <is>
          <t>⚠ 외삽 (측정 밖)</t>
        </is>
      </c>
    </row>
    <row r="161">
      <c r="A161" s="7" t="n">
        <v>2.54</v>
      </c>
      <c r="B161" s="12">
        <f>1000/A161</f>
        <v/>
      </c>
      <c r="C161" s="10">
        <f>Params!$E$8-(Params!$D$8/Params!$B$4)*(A161/1000)</f>
        <v/>
      </c>
      <c r="D161" s="10">
        <f>Params!$E$9-(Params!$D$9/Params!$B$4)*(A161/1000)</f>
        <v/>
      </c>
      <c r="E161" s="10">
        <f>Params!$E$10-(Params!$D$10/Params!$B$4)*(A161/1000)</f>
        <v/>
      </c>
      <c r="F161" s="13" t="inlineStr">
        <is>
          <t>⚠ 외삽 (측정 밖)</t>
        </is>
      </c>
    </row>
    <row r="162">
      <c r="A162" s="7" t="n">
        <v>2.55</v>
      </c>
      <c r="B162" s="12">
        <f>1000/A162</f>
        <v/>
      </c>
      <c r="C162" s="10">
        <f>Params!$E$8-(Params!$D$8/Params!$B$4)*(A162/1000)</f>
        <v/>
      </c>
      <c r="D162" s="10">
        <f>Params!$E$9-(Params!$D$9/Params!$B$4)*(A162/1000)</f>
        <v/>
      </c>
      <c r="E162" s="10">
        <f>Params!$E$10-(Params!$D$10/Params!$B$4)*(A162/1000)</f>
        <v/>
      </c>
      <c r="F162" s="13" t="inlineStr">
        <is>
          <t>⚠ 외삽 (측정 밖)</t>
        </is>
      </c>
    </row>
    <row r="163">
      <c r="A163" s="7" t="n">
        <v>2.56</v>
      </c>
      <c r="B163" s="12">
        <f>1000/A163</f>
        <v/>
      </c>
      <c r="C163" s="10">
        <f>Params!$E$8-(Params!$D$8/Params!$B$4)*(A163/1000)</f>
        <v/>
      </c>
      <c r="D163" s="10">
        <f>Params!$E$9-(Params!$D$9/Params!$B$4)*(A163/1000)</f>
        <v/>
      </c>
      <c r="E163" s="10">
        <f>Params!$E$10-(Params!$D$10/Params!$B$4)*(A163/1000)</f>
        <v/>
      </c>
      <c r="F163" s="13" t="inlineStr">
        <is>
          <t>⚠ 외삽 (측정 밖)</t>
        </is>
      </c>
    </row>
    <row r="164">
      <c r="A164" s="7" t="n">
        <v>2.57</v>
      </c>
      <c r="B164" s="12">
        <f>1000/A164</f>
        <v/>
      </c>
      <c r="C164" s="10">
        <f>Params!$E$8-(Params!$D$8/Params!$B$4)*(A164/1000)</f>
        <v/>
      </c>
      <c r="D164" s="10">
        <f>Params!$E$9-(Params!$D$9/Params!$B$4)*(A164/1000)</f>
        <v/>
      </c>
      <c r="E164" s="10">
        <f>Params!$E$10-(Params!$D$10/Params!$B$4)*(A164/1000)</f>
        <v/>
      </c>
      <c r="F164" s="13" t="inlineStr">
        <is>
          <t>⚠ 외삽 (측정 밖)</t>
        </is>
      </c>
    </row>
    <row r="165">
      <c r="A165" s="7" t="n">
        <v>2.58</v>
      </c>
      <c r="B165" s="12">
        <f>1000/A165</f>
        <v/>
      </c>
      <c r="C165" s="10">
        <f>Params!$E$8-(Params!$D$8/Params!$B$4)*(A165/1000)</f>
        <v/>
      </c>
      <c r="D165" s="10">
        <f>Params!$E$9-(Params!$D$9/Params!$B$4)*(A165/1000)</f>
        <v/>
      </c>
      <c r="E165" s="10">
        <f>Params!$E$10-(Params!$D$10/Params!$B$4)*(A165/1000)</f>
        <v/>
      </c>
      <c r="F165" s="13" t="inlineStr">
        <is>
          <t>⚠ 외삽 (측정 밖)</t>
        </is>
      </c>
    </row>
    <row r="166">
      <c r="A166" s="7" t="n">
        <v>2.59</v>
      </c>
      <c r="B166" s="12">
        <f>1000/A166</f>
        <v/>
      </c>
      <c r="C166" s="10">
        <f>Params!$E$8-(Params!$D$8/Params!$B$4)*(A166/1000)</f>
        <v/>
      </c>
      <c r="D166" s="10">
        <f>Params!$E$9-(Params!$D$9/Params!$B$4)*(A166/1000)</f>
        <v/>
      </c>
      <c r="E166" s="10">
        <f>Params!$E$10-(Params!$D$10/Params!$B$4)*(A166/1000)</f>
        <v/>
      </c>
      <c r="F166" s="13" t="inlineStr">
        <is>
          <t>⚠ 외삽 (측정 밖)</t>
        </is>
      </c>
    </row>
    <row r="167">
      <c r="A167" s="7" t="n">
        <v>2.6</v>
      </c>
      <c r="B167" s="12">
        <f>1000/A167</f>
        <v/>
      </c>
      <c r="C167" s="10">
        <f>Params!$E$8-(Params!$D$8/Params!$B$4)*(A167/1000)</f>
        <v/>
      </c>
      <c r="D167" s="10">
        <f>Params!$E$9-(Params!$D$9/Params!$B$4)*(A167/1000)</f>
        <v/>
      </c>
      <c r="E167" s="10">
        <f>Params!$E$10-(Params!$D$10/Params!$B$4)*(A167/1000)</f>
        <v/>
      </c>
      <c r="F167" s="13" t="inlineStr">
        <is>
          <t>⚠ 외삽 (측정 밖)</t>
        </is>
      </c>
    </row>
    <row r="168">
      <c r="A168" s="7" t="n">
        <v>2.61</v>
      </c>
      <c r="B168" s="12">
        <f>1000/A168</f>
        <v/>
      </c>
      <c r="C168" s="10">
        <f>Params!$E$8-(Params!$D$8/Params!$B$4)*(A168/1000)</f>
        <v/>
      </c>
      <c r="D168" s="10">
        <f>Params!$E$9-(Params!$D$9/Params!$B$4)*(A168/1000)</f>
        <v/>
      </c>
      <c r="E168" s="10">
        <f>Params!$E$10-(Params!$D$10/Params!$B$4)*(A168/1000)</f>
        <v/>
      </c>
      <c r="F168" s="13" t="inlineStr">
        <is>
          <t>⚠ 외삽 (측정 밖)</t>
        </is>
      </c>
    </row>
    <row r="169">
      <c r="A169" s="7" t="n">
        <v>2.62</v>
      </c>
      <c r="B169" s="12">
        <f>1000/A169</f>
        <v/>
      </c>
      <c r="C169" s="10">
        <f>Params!$E$8-(Params!$D$8/Params!$B$4)*(A169/1000)</f>
        <v/>
      </c>
      <c r="D169" s="10">
        <f>Params!$E$9-(Params!$D$9/Params!$B$4)*(A169/1000)</f>
        <v/>
      </c>
      <c r="E169" s="10">
        <f>Params!$E$10-(Params!$D$10/Params!$B$4)*(A169/1000)</f>
        <v/>
      </c>
      <c r="F169" s="13" t="inlineStr">
        <is>
          <t>⚠ 외삽 (측정 밖)</t>
        </is>
      </c>
    </row>
    <row r="170">
      <c r="A170" s="7" t="n">
        <v>2.63</v>
      </c>
      <c r="B170" s="12">
        <f>1000/A170</f>
        <v/>
      </c>
      <c r="C170" s="10">
        <f>Params!$E$8-(Params!$D$8/Params!$B$4)*(A170/1000)</f>
        <v/>
      </c>
      <c r="D170" s="10">
        <f>Params!$E$9-(Params!$D$9/Params!$B$4)*(A170/1000)</f>
        <v/>
      </c>
      <c r="E170" s="10">
        <f>Params!$E$10-(Params!$D$10/Params!$B$4)*(A170/1000)</f>
        <v/>
      </c>
      <c r="F170" s="13" t="inlineStr">
        <is>
          <t>⚠ 외삽 (측정 밖)</t>
        </is>
      </c>
    </row>
    <row r="171">
      <c r="A171" s="7" t="n">
        <v>2.64</v>
      </c>
      <c r="B171" s="12">
        <f>1000/A171</f>
        <v/>
      </c>
      <c r="C171" s="10">
        <f>Params!$E$8-(Params!$D$8/Params!$B$4)*(A171/1000)</f>
        <v/>
      </c>
      <c r="D171" s="10">
        <f>Params!$E$9-(Params!$D$9/Params!$B$4)*(A171/1000)</f>
        <v/>
      </c>
      <c r="E171" s="10">
        <f>Params!$E$10-(Params!$D$10/Params!$B$4)*(A171/1000)</f>
        <v/>
      </c>
      <c r="F171" s="13" t="inlineStr">
        <is>
          <t>⚠ 외삽 (측정 밖)</t>
        </is>
      </c>
    </row>
    <row r="172">
      <c r="A172" s="7" t="n">
        <v>2.65</v>
      </c>
      <c r="B172" s="12">
        <f>1000/A172</f>
        <v/>
      </c>
      <c r="C172" s="10">
        <f>Params!$E$8-(Params!$D$8/Params!$B$4)*(A172/1000)</f>
        <v/>
      </c>
      <c r="D172" s="10">
        <f>Params!$E$9-(Params!$D$9/Params!$B$4)*(A172/1000)</f>
        <v/>
      </c>
      <c r="E172" s="10">
        <f>Params!$E$10-(Params!$D$10/Params!$B$4)*(A172/1000)</f>
        <v/>
      </c>
      <c r="F172" s="13" t="inlineStr">
        <is>
          <t>⚠ 외삽 (측정 밖)</t>
        </is>
      </c>
    </row>
    <row r="173">
      <c r="A173" s="7" t="n">
        <v>2.66</v>
      </c>
      <c r="B173" s="12">
        <f>1000/A173</f>
        <v/>
      </c>
      <c r="C173" s="10">
        <f>Params!$E$8-(Params!$D$8/Params!$B$4)*(A173/1000)</f>
        <v/>
      </c>
      <c r="D173" s="10">
        <f>Params!$E$9-(Params!$D$9/Params!$B$4)*(A173/1000)</f>
        <v/>
      </c>
      <c r="E173" s="10">
        <f>Params!$E$10-(Params!$D$10/Params!$B$4)*(A173/1000)</f>
        <v/>
      </c>
      <c r="F173" s="13" t="inlineStr">
        <is>
          <t>⚠ 외삽 (측정 밖)</t>
        </is>
      </c>
    </row>
    <row r="174">
      <c r="A174" s="7" t="n">
        <v>2.67</v>
      </c>
      <c r="B174" s="12">
        <f>1000/A174</f>
        <v/>
      </c>
      <c r="C174" s="10">
        <f>Params!$E$8-(Params!$D$8/Params!$B$4)*(A174/1000)</f>
        <v/>
      </c>
      <c r="D174" s="10">
        <f>Params!$E$9-(Params!$D$9/Params!$B$4)*(A174/1000)</f>
        <v/>
      </c>
      <c r="E174" s="10">
        <f>Params!$E$10-(Params!$D$10/Params!$B$4)*(A174/1000)</f>
        <v/>
      </c>
      <c r="F174" s="13" t="inlineStr">
        <is>
          <t>⚠ 외삽 (측정 밖)</t>
        </is>
      </c>
    </row>
    <row r="175">
      <c r="A175" s="7" t="n">
        <v>2.68</v>
      </c>
      <c r="B175" s="12">
        <f>1000/A175</f>
        <v/>
      </c>
      <c r="C175" s="10">
        <f>Params!$E$8-(Params!$D$8/Params!$B$4)*(A175/1000)</f>
        <v/>
      </c>
      <c r="D175" s="10">
        <f>Params!$E$9-(Params!$D$9/Params!$B$4)*(A175/1000)</f>
        <v/>
      </c>
      <c r="E175" s="10">
        <f>Params!$E$10-(Params!$D$10/Params!$B$4)*(A175/1000)</f>
        <v/>
      </c>
      <c r="F175" s="13" t="inlineStr">
        <is>
          <t>⚠ 외삽 (측정 밖)</t>
        </is>
      </c>
    </row>
    <row r="176">
      <c r="A176" s="7" t="n">
        <v>2.69</v>
      </c>
      <c r="B176" s="12">
        <f>1000/A176</f>
        <v/>
      </c>
      <c r="C176" s="10">
        <f>Params!$E$8-(Params!$D$8/Params!$B$4)*(A176/1000)</f>
        <v/>
      </c>
      <c r="D176" s="10">
        <f>Params!$E$9-(Params!$D$9/Params!$B$4)*(A176/1000)</f>
        <v/>
      </c>
      <c r="E176" s="10">
        <f>Params!$E$10-(Params!$D$10/Params!$B$4)*(A176/1000)</f>
        <v/>
      </c>
      <c r="F176" s="13" t="inlineStr">
        <is>
          <t>⚠ 외삽 (측정 밖)</t>
        </is>
      </c>
    </row>
    <row r="177">
      <c r="A177" s="7" t="n">
        <v>2.7</v>
      </c>
      <c r="B177" s="12">
        <f>1000/A177</f>
        <v/>
      </c>
      <c r="C177" s="10">
        <f>Params!$E$8-(Params!$D$8/Params!$B$4)*(A177/1000)</f>
        <v/>
      </c>
      <c r="D177" s="10">
        <f>Params!$E$9-(Params!$D$9/Params!$B$4)*(A177/1000)</f>
        <v/>
      </c>
      <c r="E177" s="10">
        <f>Params!$E$10-(Params!$D$10/Params!$B$4)*(A177/1000)</f>
        <v/>
      </c>
      <c r="F177" s="13" t="inlineStr">
        <is>
          <t>⚠ 외삽 (측정 밖)</t>
        </is>
      </c>
    </row>
    <row r="178">
      <c r="A178" s="7" t="n">
        <v>2.71</v>
      </c>
      <c r="B178" s="12">
        <f>1000/A178</f>
        <v/>
      </c>
      <c r="C178" s="10">
        <f>Params!$E$8-(Params!$D$8/Params!$B$4)*(A178/1000)</f>
        <v/>
      </c>
      <c r="D178" s="10">
        <f>Params!$E$9-(Params!$D$9/Params!$B$4)*(A178/1000)</f>
        <v/>
      </c>
      <c r="E178" s="10">
        <f>Params!$E$10-(Params!$D$10/Params!$B$4)*(A178/1000)</f>
        <v/>
      </c>
      <c r="F178" s="13" t="inlineStr">
        <is>
          <t>⚠ 외삽 (측정 밖)</t>
        </is>
      </c>
    </row>
    <row r="179">
      <c r="A179" s="7" t="n">
        <v>2.72</v>
      </c>
      <c r="B179" s="12">
        <f>1000/A179</f>
        <v/>
      </c>
      <c r="C179" s="10">
        <f>Params!$E$8-(Params!$D$8/Params!$B$4)*(A179/1000)</f>
        <v/>
      </c>
      <c r="D179" s="10">
        <f>Params!$E$9-(Params!$D$9/Params!$B$4)*(A179/1000)</f>
        <v/>
      </c>
      <c r="E179" s="10">
        <f>Params!$E$10-(Params!$D$10/Params!$B$4)*(A179/1000)</f>
        <v/>
      </c>
      <c r="F179" s="13" t="inlineStr">
        <is>
          <t>⚠ 외삽 (측정 밖)</t>
        </is>
      </c>
    </row>
    <row r="180">
      <c r="A180" s="7" t="n">
        <v>2.73</v>
      </c>
      <c r="B180" s="12">
        <f>1000/A180</f>
        <v/>
      </c>
      <c r="C180" s="10">
        <f>Params!$E$8-(Params!$D$8/Params!$B$4)*(A180/1000)</f>
        <v/>
      </c>
      <c r="D180" s="10">
        <f>Params!$E$9-(Params!$D$9/Params!$B$4)*(A180/1000)</f>
        <v/>
      </c>
      <c r="E180" s="10">
        <f>Params!$E$10-(Params!$D$10/Params!$B$4)*(A180/1000)</f>
        <v/>
      </c>
      <c r="F180" s="13" t="inlineStr">
        <is>
          <t>⚠ 외삽 (측정 밖)</t>
        </is>
      </c>
    </row>
    <row r="181">
      <c r="A181" s="7" t="n">
        <v>2.74</v>
      </c>
      <c r="B181" s="12">
        <f>1000/A181</f>
        <v/>
      </c>
      <c r="C181" s="10">
        <f>Params!$E$8-(Params!$D$8/Params!$B$4)*(A181/1000)</f>
        <v/>
      </c>
      <c r="D181" s="10">
        <f>Params!$E$9-(Params!$D$9/Params!$B$4)*(A181/1000)</f>
        <v/>
      </c>
      <c r="E181" s="10">
        <f>Params!$E$10-(Params!$D$10/Params!$B$4)*(A181/1000)</f>
        <v/>
      </c>
      <c r="F181" s="13" t="inlineStr">
        <is>
          <t>⚠ 외삽 (측정 밖)</t>
        </is>
      </c>
    </row>
    <row r="182">
      <c r="A182" s="7" t="n">
        <v>2.75</v>
      </c>
      <c r="B182" s="12">
        <f>1000/A182</f>
        <v/>
      </c>
      <c r="C182" s="10">
        <f>Params!$E$8-(Params!$D$8/Params!$B$4)*(A182/1000)</f>
        <v/>
      </c>
      <c r="D182" s="10">
        <f>Params!$E$9-(Params!$D$9/Params!$B$4)*(A182/1000)</f>
        <v/>
      </c>
      <c r="E182" s="10">
        <f>Params!$E$10-(Params!$D$10/Params!$B$4)*(A182/1000)</f>
        <v/>
      </c>
      <c r="F182" s="13" t="inlineStr">
        <is>
          <t>⚠ 외삽 (측정 밖)</t>
        </is>
      </c>
    </row>
    <row r="183">
      <c r="A183" s="7" t="n">
        <v>2.76</v>
      </c>
      <c r="B183" s="12">
        <f>1000/A183</f>
        <v/>
      </c>
      <c r="C183" s="10">
        <f>Params!$E$8-(Params!$D$8/Params!$B$4)*(A183/1000)</f>
        <v/>
      </c>
      <c r="D183" s="10">
        <f>Params!$E$9-(Params!$D$9/Params!$B$4)*(A183/1000)</f>
        <v/>
      </c>
      <c r="E183" s="10">
        <f>Params!$E$10-(Params!$D$10/Params!$B$4)*(A183/1000)</f>
        <v/>
      </c>
      <c r="F183" s="13" t="inlineStr">
        <is>
          <t>⚠ 외삽 (측정 밖)</t>
        </is>
      </c>
    </row>
    <row r="184">
      <c r="A184" s="7" t="n">
        <v>2.77</v>
      </c>
      <c r="B184" s="12">
        <f>1000/A184</f>
        <v/>
      </c>
      <c r="C184" s="10">
        <f>Params!$E$8-(Params!$D$8/Params!$B$4)*(A184/1000)</f>
        <v/>
      </c>
      <c r="D184" s="10">
        <f>Params!$E$9-(Params!$D$9/Params!$B$4)*(A184/1000)</f>
        <v/>
      </c>
      <c r="E184" s="10">
        <f>Params!$E$10-(Params!$D$10/Params!$B$4)*(A184/1000)</f>
        <v/>
      </c>
      <c r="F184" s="13" t="inlineStr">
        <is>
          <t>⚠ 외삽 (측정 밖)</t>
        </is>
      </c>
    </row>
    <row r="185">
      <c r="A185" s="7" t="n">
        <v>2.78</v>
      </c>
      <c r="B185" s="12">
        <f>1000/A185</f>
        <v/>
      </c>
      <c r="C185" s="10">
        <f>Params!$E$8-(Params!$D$8/Params!$B$4)*(A185/1000)</f>
        <v/>
      </c>
      <c r="D185" s="10">
        <f>Params!$E$9-(Params!$D$9/Params!$B$4)*(A185/1000)</f>
        <v/>
      </c>
      <c r="E185" s="10">
        <f>Params!$E$10-(Params!$D$10/Params!$B$4)*(A185/1000)</f>
        <v/>
      </c>
      <c r="F185" s="13" t="inlineStr">
        <is>
          <t>⚠ 외삽 (측정 밖)</t>
        </is>
      </c>
    </row>
    <row r="186">
      <c r="A186" s="7" t="n">
        <v>2.79</v>
      </c>
      <c r="B186" s="12">
        <f>1000/A186</f>
        <v/>
      </c>
      <c r="C186" s="10">
        <f>Params!$E$8-(Params!$D$8/Params!$B$4)*(A186/1000)</f>
        <v/>
      </c>
      <c r="D186" s="10">
        <f>Params!$E$9-(Params!$D$9/Params!$B$4)*(A186/1000)</f>
        <v/>
      </c>
      <c r="E186" s="10">
        <f>Params!$E$10-(Params!$D$10/Params!$B$4)*(A186/1000)</f>
        <v/>
      </c>
      <c r="F186" s="13" t="inlineStr">
        <is>
          <t>⚠ 외삽 (측정 밖)</t>
        </is>
      </c>
    </row>
    <row r="187">
      <c r="A187" s="7" t="n">
        <v>2.8</v>
      </c>
      <c r="B187" s="12">
        <f>1000/A187</f>
        <v/>
      </c>
      <c r="C187" s="10">
        <f>Params!$E$8-(Params!$D$8/Params!$B$4)*(A187/1000)</f>
        <v/>
      </c>
      <c r="D187" s="10">
        <f>Params!$E$9-(Params!$D$9/Params!$B$4)*(A187/1000)</f>
        <v/>
      </c>
      <c r="E187" s="10">
        <f>Params!$E$10-(Params!$D$10/Params!$B$4)*(A187/1000)</f>
        <v/>
      </c>
      <c r="F187" s="13" t="inlineStr">
        <is>
          <t>⚠ 외삽 (측정 밖)</t>
        </is>
      </c>
    </row>
    <row r="188">
      <c r="A188" s="7" t="n">
        <v>2.81</v>
      </c>
      <c r="B188" s="12">
        <f>1000/A188</f>
        <v/>
      </c>
      <c r="C188" s="10">
        <f>Params!$E$8-(Params!$D$8/Params!$B$4)*(A188/1000)</f>
        <v/>
      </c>
      <c r="D188" s="10">
        <f>Params!$E$9-(Params!$D$9/Params!$B$4)*(A188/1000)</f>
        <v/>
      </c>
      <c r="E188" s="10">
        <f>Params!$E$10-(Params!$D$10/Params!$B$4)*(A188/1000)</f>
        <v/>
      </c>
      <c r="F188" s="13" t="inlineStr">
        <is>
          <t>⚠ 외삽 (측정 밖)</t>
        </is>
      </c>
    </row>
    <row r="189">
      <c r="A189" s="7" t="n">
        <v>2.82</v>
      </c>
      <c r="B189" s="12">
        <f>1000/A189</f>
        <v/>
      </c>
      <c r="C189" s="10">
        <f>Params!$E$8-(Params!$D$8/Params!$B$4)*(A189/1000)</f>
        <v/>
      </c>
      <c r="D189" s="10">
        <f>Params!$E$9-(Params!$D$9/Params!$B$4)*(A189/1000)</f>
        <v/>
      </c>
      <c r="E189" s="10">
        <f>Params!$E$10-(Params!$D$10/Params!$B$4)*(A189/1000)</f>
        <v/>
      </c>
      <c r="F189" s="13" t="inlineStr">
        <is>
          <t>⚠ 외삽 (측정 밖)</t>
        </is>
      </c>
    </row>
    <row r="190">
      <c r="A190" s="7" t="n">
        <v>2.83</v>
      </c>
      <c r="B190" s="12">
        <f>1000/A190</f>
        <v/>
      </c>
      <c r="C190" s="10">
        <f>Params!$E$8-(Params!$D$8/Params!$B$4)*(A190/1000)</f>
        <v/>
      </c>
      <c r="D190" s="10">
        <f>Params!$E$9-(Params!$D$9/Params!$B$4)*(A190/1000)</f>
        <v/>
      </c>
      <c r="E190" s="10">
        <f>Params!$E$10-(Params!$D$10/Params!$B$4)*(A190/1000)</f>
        <v/>
      </c>
      <c r="F190" s="13" t="inlineStr">
        <is>
          <t>⚠ 외삽 (측정 밖)</t>
        </is>
      </c>
    </row>
    <row r="191">
      <c r="A191" s="7" t="n">
        <v>2.84</v>
      </c>
      <c r="B191" s="12">
        <f>1000/A191</f>
        <v/>
      </c>
      <c r="C191" s="10">
        <f>Params!$E$8-(Params!$D$8/Params!$B$4)*(A191/1000)</f>
        <v/>
      </c>
      <c r="D191" s="10">
        <f>Params!$E$9-(Params!$D$9/Params!$B$4)*(A191/1000)</f>
        <v/>
      </c>
      <c r="E191" s="10">
        <f>Params!$E$10-(Params!$D$10/Params!$B$4)*(A191/1000)</f>
        <v/>
      </c>
      <c r="F191" s="13" t="inlineStr">
        <is>
          <t>⚠ 외삽 (측정 밖)</t>
        </is>
      </c>
    </row>
    <row r="192">
      <c r="A192" s="7" t="n">
        <v>2.85</v>
      </c>
      <c r="B192" s="12">
        <f>1000/A192</f>
        <v/>
      </c>
      <c r="C192" s="10">
        <f>Params!$E$8-(Params!$D$8/Params!$B$4)*(A192/1000)</f>
        <v/>
      </c>
      <c r="D192" s="10">
        <f>Params!$E$9-(Params!$D$9/Params!$B$4)*(A192/1000)</f>
        <v/>
      </c>
      <c r="E192" s="10">
        <f>Params!$E$10-(Params!$D$10/Params!$B$4)*(A192/1000)</f>
        <v/>
      </c>
      <c r="F192" s="13" t="inlineStr">
        <is>
          <t>⚠ 외삽 (측정 밖)</t>
        </is>
      </c>
    </row>
    <row r="193">
      <c r="A193" s="7" t="n">
        <v>2.86</v>
      </c>
      <c r="B193" s="12">
        <f>1000/A193</f>
        <v/>
      </c>
      <c r="C193" s="10">
        <f>Params!$E$8-(Params!$D$8/Params!$B$4)*(A193/1000)</f>
        <v/>
      </c>
      <c r="D193" s="10">
        <f>Params!$E$9-(Params!$D$9/Params!$B$4)*(A193/1000)</f>
        <v/>
      </c>
      <c r="E193" s="10">
        <f>Params!$E$10-(Params!$D$10/Params!$B$4)*(A193/1000)</f>
        <v/>
      </c>
      <c r="F193" s="13" t="inlineStr">
        <is>
          <t>⚠ 외삽 (측정 밖)</t>
        </is>
      </c>
    </row>
    <row r="194">
      <c r="A194" s="7" t="n">
        <v>2.87</v>
      </c>
      <c r="B194" s="12">
        <f>1000/A194</f>
        <v/>
      </c>
      <c r="C194" s="10">
        <f>Params!$E$8-(Params!$D$8/Params!$B$4)*(A194/1000)</f>
        <v/>
      </c>
      <c r="D194" s="10">
        <f>Params!$E$9-(Params!$D$9/Params!$B$4)*(A194/1000)</f>
        <v/>
      </c>
      <c r="E194" s="10">
        <f>Params!$E$10-(Params!$D$10/Params!$B$4)*(A194/1000)</f>
        <v/>
      </c>
      <c r="F194" s="13" t="inlineStr">
        <is>
          <t>⚠ 외삽 (측정 밖)</t>
        </is>
      </c>
    </row>
    <row r="195">
      <c r="A195" s="7" t="n">
        <v>2.88</v>
      </c>
      <c r="B195" s="12">
        <f>1000/A195</f>
        <v/>
      </c>
      <c r="C195" s="10">
        <f>Params!$E$8-(Params!$D$8/Params!$B$4)*(A195/1000)</f>
        <v/>
      </c>
      <c r="D195" s="10">
        <f>Params!$E$9-(Params!$D$9/Params!$B$4)*(A195/1000)</f>
        <v/>
      </c>
      <c r="E195" s="10">
        <f>Params!$E$10-(Params!$D$10/Params!$B$4)*(A195/1000)</f>
        <v/>
      </c>
      <c r="F195" s="13" t="inlineStr">
        <is>
          <t>⚠ 외삽 (측정 밖)</t>
        </is>
      </c>
    </row>
    <row r="196">
      <c r="A196" s="7" t="n">
        <v>2.89</v>
      </c>
      <c r="B196" s="12">
        <f>1000/A196</f>
        <v/>
      </c>
      <c r="C196" s="10">
        <f>Params!$E$8-(Params!$D$8/Params!$B$4)*(A196/1000)</f>
        <v/>
      </c>
      <c r="D196" s="10">
        <f>Params!$E$9-(Params!$D$9/Params!$B$4)*(A196/1000)</f>
        <v/>
      </c>
      <c r="E196" s="10">
        <f>Params!$E$10-(Params!$D$10/Params!$B$4)*(A196/1000)</f>
        <v/>
      </c>
      <c r="F196" s="13" t="inlineStr">
        <is>
          <t>⚠ 외삽 (측정 밖)</t>
        </is>
      </c>
    </row>
    <row r="197">
      <c r="A197" s="7" t="n">
        <v>2.9</v>
      </c>
      <c r="B197" s="12">
        <f>1000/A197</f>
        <v/>
      </c>
      <c r="C197" s="10">
        <f>Params!$E$8-(Params!$D$8/Params!$B$4)*(A197/1000)</f>
        <v/>
      </c>
      <c r="D197" s="10">
        <f>Params!$E$9-(Params!$D$9/Params!$B$4)*(A197/1000)</f>
        <v/>
      </c>
      <c r="E197" s="10">
        <f>Params!$E$10-(Params!$D$10/Params!$B$4)*(A197/1000)</f>
        <v/>
      </c>
      <c r="F197" s="13" t="inlineStr">
        <is>
          <t>⚠ 외삽 (측정 밖)</t>
        </is>
      </c>
    </row>
    <row r="198">
      <c r="A198" s="7" t="n">
        <v>2.91</v>
      </c>
      <c r="B198" s="12">
        <f>1000/A198</f>
        <v/>
      </c>
      <c r="C198" s="10">
        <f>Params!$E$8-(Params!$D$8/Params!$B$4)*(A198/1000)</f>
        <v/>
      </c>
      <c r="D198" s="10">
        <f>Params!$E$9-(Params!$D$9/Params!$B$4)*(A198/1000)</f>
        <v/>
      </c>
      <c r="E198" s="10">
        <f>Params!$E$10-(Params!$D$10/Params!$B$4)*(A198/1000)</f>
        <v/>
      </c>
      <c r="F198" s="13" t="inlineStr">
        <is>
          <t>⚠ 외삽 (측정 밖)</t>
        </is>
      </c>
    </row>
    <row r="199">
      <c r="A199" s="7" t="n">
        <v>2.92</v>
      </c>
      <c r="B199" s="12">
        <f>1000/A199</f>
        <v/>
      </c>
      <c r="C199" s="10">
        <f>Params!$E$8-(Params!$D$8/Params!$B$4)*(A199/1000)</f>
        <v/>
      </c>
      <c r="D199" s="10">
        <f>Params!$E$9-(Params!$D$9/Params!$B$4)*(A199/1000)</f>
        <v/>
      </c>
      <c r="E199" s="10">
        <f>Params!$E$10-(Params!$D$10/Params!$B$4)*(A199/1000)</f>
        <v/>
      </c>
      <c r="F199" s="13" t="inlineStr">
        <is>
          <t>⚠ 외삽 (측정 밖)</t>
        </is>
      </c>
    </row>
    <row r="200">
      <c r="A200" s="7" t="n">
        <v>2.93</v>
      </c>
      <c r="B200" s="12">
        <f>1000/A200</f>
        <v/>
      </c>
      <c r="C200" s="10">
        <f>Params!$E$8-(Params!$D$8/Params!$B$4)*(A200/1000)</f>
        <v/>
      </c>
      <c r="D200" s="10">
        <f>Params!$E$9-(Params!$D$9/Params!$B$4)*(A200/1000)</f>
        <v/>
      </c>
      <c r="E200" s="10">
        <f>Params!$E$10-(Params!$D$10/Params!$B$4)*(A200/1000)</f>
        <v/>
      </c>
      <c r="F200" s="13" t="inlineStr">
        <is>
          <t>⚠ 외삽 (측정 밖)</t>
        </is>
      </c>
    </row>
    <row r="201">
      <c r="A201" s="7" t="n">
        <v>2.94</v>
      </c>
      <c r="B201" s="12">
        <f>1000/A201</f>
        <v/>
      </c>
      <c r="C201" s="10">
        <f>Params!$E$8-(Params!$D$8/Params!$B$4)*(A201/1000)</f>
        <v/>
      </c>
      <c r="D201" s="10">
        <f>Params!$E$9-(Params!$D$9/Params!$B$4)*(A201/1000)</f>
        <v/>
      </c>
      <c r="E201" s="10">
        <f>Params!$E$10-(Params!$D$10/Params!$B$4)*(A201/1000)</f>
        <v/>
      </c>
      <c r="F201" s="13" t="inlineStr">
        <is>
          <t>⚠ 외삽 (측정 밖)</t>
        </is>
      </c>
    </row>
    <row r="202">
      <c r="A202" s="7" t="n">
        <v>2.95</v>
      </c>
      <c r="B202" s="12">
        <f>1000/A202</f>
        <v/>
      </c>
      <c r="C202" s="10">
        <f>Params!$E$8-(Params!$D$8/Params!$B$4)*(A202/1000)</f>
        <v/>
      </c>
      <c r="D202" s="10">
        <f>Params!$E$9-(Params!$D$9/Params!$B$4)*(A202/1000)</f>
        <v/>
      </c>
      <c r="E202" s="10">
        <f>Params!$E$10-(Params!$D$10/Params!$B$4)*(A202/1000)</f>
        <v/>
      </c>
      <c r="F202" s="13" t="inlineStr">
        <is>
          <t>⚠ 외삽 (측정 밖)</t>
        </is>
      </c>
    </row>
    <row r="203">
      <c r="A203" s="7" t="n">
        <v>2.96</v>
      </c>
      <c r="B203" s="12">
        <f>1000/A203</f>
        <v/>
      </c>
      <c r="C203" s="10">
        <f>Params!$E$8-(Params!$D$8/Params!$B$4)*(A203/1000)</f>
        <v/>
      </c>
      <c r="D203" s="10">
        <f>Params!$E$9-(Params!$D$9/Params!$B$4)*(A203/1000)</f>
        <v/>
      </c>
      <c r="E203" s="10">
        <f>Params!$E$10-(Params!$D$10/Params!$B$4)*(A203/1000)</f>
        <v/>
      </c>
      <c r="F203" s="13" t="inlineStr">
        <is>
          <t>⚠ 외삽 (측정 밖)</t>
        </is>
      </c>
    </row>
    <row r="204">
      <c r="A204" s="7" t="n">
        <v>2.97</v>
      </c>
      <c r="B204" s="12">
        <f>1000/A204</f>
        <v/>
      </c>
      <c r="C204" s="10">
        <f>Params!$E$8-(Params!$D$8/Params!$B$4)*(A204/1000)</f>
        <v/>
      </c>
      <c r="D204" s="10">
        <f>Params!$E$9-(Params!$D$9/Params!$B$4)*(A204/1000)</f>
        <v/>
      </c>
      <c r="E204" s="10">
        <f>Params!$E$10-(Params!$D$10/Params!$B$4)*(A204/1000)</f>
        <v/>
      </c>
      <c r="F204" s="13" t="inlineStr">
        <is>
          <t>⚠ 외삽 (측정 밖)</t>
        </is>
      </c>
    </row>
    <row r="205">
      <c r="A205" s="7" t="n">
        <v>2.98</v>
      </c>
      <c r="B205" s="12">
        <f>1000/A205</f>
        <v/>
      </c>
      <c r="C205" s="10">
        <f>Params!$E$8-(Params!$D$8/Params!$B$4)*(A205/1000)</f>
        <v/>
      </c>
      <c r="D205" s="10">
        <f>Params!$E$9-(Params!$D$9/Params!$B$4)*(A205/1000)</f>
        <v/>
      </c>
      <c r="E205" s="10">
        <f>Params!$E$10-(Params!$D$10/Params!$B$4)*(A205/1000)</f>
        <v/>
      </c>
      <c r="F205" s="13" t="inlineStr">
        <is>
          <t>⚠ 외삽 (측정 밖)</t>
        </is>
      </c>
    </row>
    <row r="206">
      <c r="A206" s="7" t="n">
        <v>2.99</v>
      </c>
      <c r="B206" s="12">
        <f>1000/A206</f>
        <v/>
      </c>
      <c r="C206" s="10">
        <f>Params!$E$8-(Params!$D$8/Params!$B$4)*(A206/1000)</f>
        <v/>
      </c>
      <c r="D206" s="10">
        <f>Params!$E$9-(Params!$D$9/Params!$B$4)*(A206/1000)</f>
        <v/>
      </c>
      <c r="E206" s="10">
        <f>Params!$E$10-(Params!$D$10/Params!$B$4)*(A206/1000)</f>
        <v/>
      </c>
      <c r="F206" s="13" t="inlineStr">
        <is>
          <t>⚠ 외삽 (측정 밖)</t>
        </is>
      </c>
    </row>
    <row r="207">
      <c r="A207" s="7" t="n">
        <v>3</v>
      </c>
      <c r="B207" s="12">
        <f>1000/A207</f>
        <v/>
      </c>
      <c r="C207" s="10">
        <f>Params!$E$8-(Params!$D$8/Params!$B$4)*(A207/1000)</f>
        <v/>
      </c>
      <c r="D207" s="10">
        <f>Params!$E$9-(Params!$D$9/Params!$B$4)*(A207/1000)</f>
        <v/>
      </c>
      <c r="E207" s="10">
        <f>Params!$E$10-(Params!$D$10/Params!$B$4)*(A207/1000)</f>
        <v/>
      </c>
      <c r="F207" s="13" t="inlineStr">
        <is>
          <t>⚠ 외삽 (측정 밖)</t>
        </is>
      </c>
    </row>
    <row r="208">
      <c r="A208" s="7" t="n">
        <v>3.01</v>
      </c>
      <c r="B208" s="12">
        <f>1000/A208</f>
        <v/>
      </c>
      <c r="C208" s="10">
        <f>Params!$E$8-(Params!$D$8/Params!$B$4)*(A208/1000)</f>
        <v/>
      </c>
      <c r="D208" s="10">
        <f>Params!$E$9-(Params!$D$9/Params!$B$4)*(A208/1000)</f>
        <v/>
      </c>
      <c r="E208" s="10">
        <f>Params!$E$10-(Params!$D$10/Params!$B$4)*(A208/1000)</f>
        <v/>
      </c>
      <c r="F208" s="13" t="inlineStr">
        <is>
          <t>⚠ 외삽 (측정 밖)</t>
        </is>
      </c>
    </row>
    <row r="209">
      <c r="A209" s="7" t="n">
        <v>3.02</v>
      </c>
      <c r="B209" s="12">
        <f>1000/A209</f>
        <v/>
      </c>
      <c r="C209" s="10">
        <f>Params!$E$8-(Params!$D$8/Params!$B$4)*(A209/1000)</f>
        <v/>
      </c>
      <c r="D209" s="10">
        <f>Params!$E$9-(Params!$D$9/Params!$B$4)*(A209/1000)</f>
        <v/>
      </c>
      <c r="E209" s="10">
        <f>Params!$E$10-(Params!$D$10/Params!$B$4)*(A209/1000)</f>
        <v/>
      </c>
      <c r="F209" s="13" t="inlineStr">
        <is>
          <t>⚠ 외삽 (측정 밖)</t>
        </is>
      </c>
    </row>
    <row r="210">
      <c r="A210" s="7" t="n">
        <v>3.03</v>
      </c>
      <c r="B210" s="12">
        <f>1000/A210</f>
        <v/>
      </c>
      <c r="C210" s="10">
        <f>Params!$E$8-(Params!$D$8/Params!$B$4)*(A210/1000)</f>
        <v/>
      </c>
      <c r="D210" s="10">
        <f>Params!$E$9-(Params!$D$9/Params!$B$4)*(A210/1000)</f>
        <v/>
      </c>
      <c r="E210" s="10">
        <f>Params!$E$10-(Params!$D$10/Params!$B$4)*(A210/1000)</f>
        <v/>
      </c>
      <c r="F210" s="13" t="inlineStr">
        <is>
          <t>⚠ 외삽 (측정 밖)</t>
        </is>
      </c>
    </row>
    <row r="211">
      <c r="A211" s="7" t="n">
        <v>3.04</v>
      </c>
      <c r="B211" s="12">
        <f>1000/A211</f>
        <v/>
      </c>
      <c r="C211" s="10">
        <f>Params!$E$8-(Params!$D$8/Params!$B$4)*(A211/1000)</f>
        <v/>
      </c>
      <c r="D211" s="10">
        <f>Params!$E$9-(Params!$D$9/Params!$B$4)*(A211/1000)</f>
        <v/>
      </c>
      <c r="E211" s="10">
        <f>Params!$E$10-(Params!$D$10/Params!$B$4)*(A211/1000)</f>
        <v/>
      </c>
      <c r="F211" s="13" t="inlineStr">
        <is>
          <t>⚠ 외삽 (측정 밖)</t>
        </is>
      </c>
    </row>
    <row r="212">
      <c r="A212" s="7" t="n">
        <v>3.05</v>
      </c>
      <c r="B212" s="12">
        <f>1000/A212</f>
        <v/>
      </c>
      <c r="C212" s="10">
        <f>Params!$E$8-(Params!$D$8/Params!$B$4)*(A212/1000)</f>
        <v/>
      </c>
      <c r="D212" s="10">
        <f>Params!$E$9-(Params!$D$9/Params!$B$4)*(A212/1000)</f>
        <v/>
      </c>
      <c r="E212" s="10">
        <f>Params!$E$10-(Params!$D$10/Params!$B$4)*(A212/1000)</f>
        <v/>
      </c>
      <c r="F212" s="13" t="inlineStr">
        <is>
          <t>⚠ 외삽 (측정 밖)</t>
        </is>
      </c>
    </row>
    <row r="213">
      <c r="A213" s="7" t="n">
        <v>3.06</v>
      </c>
      <c r="B213" s="12">
        <f>1000/A213</f>
        <v/>
      </c>
      <c r="C213" s="10">
        <f>Params!$E$8-(Params!$D$8/Params!$B$4)*(A213/1000)</f>
        <v/>
      </c>
      <c r="D213" s="10">
        <f>Params!$E$9-(Params!$D$9/Params!$B$4)*(A213/1000)</f>
        <v/>
      </c>
      <c r="E213" s="10">
        <f>Params!$E$10-(Params!$D$10/Params!$B$4)*(A213/1000)</f>
        <v/>
      </c>
      <c r="F213" s="13" t="inlineStr">
        <is>
          <t>⚠ 외삽 (측정 밖)</t>
        </is>
      </c>
    </row>
    <row r="214">
      <c r="A214" s="7" t="n">
        <v>3.07</v>
      </c>
      <c r="B214" s="12">
        <f>1000/A214</f>
        <v/>
      </c>
      <c r="C214" s="10">
        <f>Params!$E$8-(Params!$D$8/Params!$B$4)*(A214/1000)</f>
        <v/>
      </c>
      <c r="D214" s="10">
        <f>Params!$E$9-(Params!$D$9/Params!$B$4)*(A214/1000)</f>
        <v/>
      </c>
      <c r="E214" s="10">
        <f>Params!$E$10-(Params!$D$10/Params!$B$4)*(A214/1000)</f>
        <v/>
      </c>
      <c r="F214" s="13" t="inlineStr">
        <is>
          <t>⚠ 외삽 (측정 밖)</t>
        </is>
      </c>
    </row>
    <row r="215">
      <c r="A215" s="7" t="n">
        <v>3.08</v>
      </c>
      <c r="B215" s="12">
        <f>1000/A215</f>
        <v/>
      </c>
      <c r="C215" s="10">
        <f>Params!$E$8-(Params!$D$8/Params!$B$4)*(A215/1000)</f>
        <v/>
      </c>
      <c r="D215" s="10">
        <f>Params!$E$9-(Params!$D$9/Params!$B$4)*(A215/1000)</f>
        <v/>
      </c>
      <c r="E215" s="10">
        <f>Params!$E$10-(Params!$D$10/Params!$B$4)*(A215/1000)</f>
        <v/>
      </c>
      <c r="F215" s="13" t="inlineStr">
        <is>
          <t>⚠ 외삽 (측정 밖)</t>
        </is>
      </c>
    </row>
    <row r="216">
      <c r="A216" s="7" t="n">
        <v>3.09</v>
      </c>
      <c r="B216" s="12">
        <f>1000/A216</f>
        <v/>
      </c>
      <c r="C216" s="10">
        <f>Params!$E$8-(Params!$D$8/Params!$B$4)*(A216/1000)</f>
        <v/>
      </c>
      <c r="D216" s="10">
        <f>Params!$E$9-(Params!$D$9/Params!$B$4)*(A216/1000)</f>
        <v/>
      </c>
      <c r="E216" s="10">
        <f>Params!$E$10-(Params!$D$10/Params!$B$4)*(A216/1000)</f>
        <v/>
      </c>
      <c r="F216" s="13" t="inlineStr">
        <is>
          <t>⚠ 외삽 (측정 밖)</t>
        </is>
      </c>
    </row>
    <row r="217">
      <c r="A217" s="7" t="n">
        <v>3.1</v>
      </c>
      <c r="B217" s="12">
        <f>1000/A217</f>
        <v/>
      </c>
      <c r="C217" s="10">
        <f>Params!$E$8-(Params!$D$8/Params!$B$4)*(A217/1000)</f>
        <v/>
      </c>
      <c r="D217" s="10">
        <f>Params!$E$9-(Params!$D$9/Params!$B$4)*(A217/1000)</f>
        <v/>
      </c>
      <c r="E217" s="10">
        <f>Params!$E$10-(Params!$D$10/Params!$B$4)*(A217/1000)</f>
        <v/>
      </c>
      <c r="F217" s="13" t="inlineStr">
        <is>
          <t>⚠ 외삽 (측정 밖)</t>
        </is>
      </c>
    </row>
    <row r="218">
      <c r="A218" s="7" t="n">
        <v>3.11</v>
      </c>
      <c r="B218" s="12">
        <f>1000/A218</f>
        <v/>
      </c>
      <c r="C218" s="10">
        <f>Params!$E$8-(Params!$D$8/Params!$B$4)*(A218/1000)</f>
        <v/>
      </c>
      <c r="D218" s="10">
        <f>Params!$E$9-(Params!$D$9/Params!$B$4)*(A218/1000)</f>
        <v/>
      </c>
      <c r="E218" s="10">
        <f>Params!$E$10-(Params!$D$10/Params!$B$4)*(A218/1000)</f>
        <v/>
      </c>
      <c r="F218" s="13" t="inlineStr">
        <is>
          <t>⚠ 외삽 (측정 밖)</t>
        </is>
      </c>
    </row>
    <row r="219">
      <c r="A219" s="7" t="n">
        <v>3.12</v>
      </c>
      <c r="B219" s="12">
        <f>1000/A219</f>
        <v/>
      </c>
      <c r="C219" s="10">
        <f>Params!$E$8-(Params!$D$8/Params!$B$4)*(A219/1000)</f>
        <v/>
      </c>
      <c r="D219" s="10">
        <f>Params!$E$9-(Params!$D$9/Params!$B$4)*(A219/1000)</f>
        <v/>
      </c>
      <c r="E219" s="10">
        <f>Params!$E$10-(Params!$D$10/Params!$B$4)*(A219/1000)</f>
        <v/>
      </c>
      <c r="F219" s="13" t="inlineStr">
        <is>
          <t>⚠ 외삽 (측정 밖)</t>
        </is>
      </c>
    </row>
    <row r="220">
      <c r="A220" s="7" t="n">
        <v>3.13</v>
      </c>
      <c r="B220" s="12">
        <f>1000/A220</f>
        <v/>
      </c>
      <c r="C220" s="10">
        <f>Params!$E$8-(Params!$D$8/Params!$B$4)*(A220/1000)</f>
        <v/>
      </c>
      <c r="D220" s="10">
        <f>Params!$E$9-(Params!$D$9/Params!$B$4)*(A220/1000)</f>
        <v/>
      </c>
      <c r="E220" s="10">
        <f>Params!$E$10-(Params!$D$10/Params!$B$4)*(A220/1000)</f>
        <v/>
      </c>
      <c r="F220" s="13" t="inlineStr">
        <is>
          <t>⚠ 외삽 (측정 밖)</t>
        </is>
      </c>
    </row>
    <row r="221">
      <c r="A221" s="7" t="n">
        <v>3.14</v>
      </c>
      <c r="B221" s="12">
        <f>1000/A221</f>
        <v/>
      </c>
      <c r="C221" s="10">
        <f>Params!$E$8-(Params!$D$8/Params!$B$4)*(A221/1000)</f>
        <v/>
      </c>
      <c r="D221" s="10">
        <f>Params!$E$9-(Params!$D$9/Params!$B$4)*(A221/1000)</f>
        <v/>
      </c>
      <c r="E221" s="10">
        <f>Params!$E$10-(Params!$D$10/Params!$B$4)*(A221/1000)</f>
        <v/>
      </c>
      <c r="F221" s="13" t="inlineStr">
        <is>
          <t>⚠ 외삽 (측정 밖)</t>
        </is>
      </c>
    </row>
    <row r="222">
      <c r="A222" s="7" t="n">
        <v>3.15</v>
      </c>
      <c r="B222" s="12">
        <f>1000/A222</f>
        <v/>
      </c>
      <c r="C222" s="10">
        <f>Params!$E$8-(Params!$D$8/Params!$B$4)*(A222/1000)</f>
        <v/>
      </c>
      <c r="D222" s="10">
        <f>Params!$E$9-(Params!$D$9/Params!$B$4)*(A222/1000)</f>
        <v/>
      </c>
      <c r="E222" s="10">
        <f>Params!$E$10-(Params!$D$10/Params!$B$4)*(A222/1000)</f>
        <v/>
      </c>
      <c r="F222" s="13" t="inlineStr">
        <is>
          <t>⚠ 외삽 (측정 밖)</t>
        </is>
      </c>
    </row>
    <row r="223">
      <c r="A223" s="7" t="n">
        <v>3.16</v>
      </c>
      <c r="B223" s="12">
        <f>1000/A223</f>
        <v/>
      </c>
      <c r="C223" s="10">
        <f>Params!$E$8-(Params!$D$8/Params!$B$4)*(A223/1000)</f>
        <v/>
      </c>
      <c r="D223" s="10">
        <f>Params!$E$9-(Params!$D$9/Params!$B$4)*(A223/1000)</f>
        <v/>
      </c>
      <c r="E223" s="10">
        <f>Params!$E$10-(Params!$D$10/Params!$B$4)*(A223/1000)</f>
        <v/>
      </c>
      <c r="F223" s="13" t="inlineStr">
        <is>
          <t>⚠ 외삽 (측정 밖)</t>
        </is>
      </c>
    </row>
    <row r="224">
      <c r="A224" s="7" t="n">
        <v>3.17</v>
      </c>
      <c r="B224" s="12">
        <f>1000/A224</f>
        <v/>
      </c>
      <c r="C224" s="10">
        <f>Params!$E$8-(Params!$D$8/Params!$B$4)*(A224/1000)</f>
        <v/>
      </c>
      <c r="D224" s="10">
        <f>Params!$E$9-(Params!$D$9/Params!$B$4)*(A224/1000)</f>
        <v/>
      </c>
      <c r="E224" s="10">
        <f>Params!$E$10-(Params!$D$10/Params!$B$4)*(A224/1000)</f>
        <v/>
      </c>
      <c r="F224" s="13" t="inlineStr">
        <is>
          <t>⚠ 외삽 (측정 밖)</t>
        </is>
      </c>
    </row>
    <row r="225">
      <c r="A225" s="7" t="n">
        <v>3.18</v>
      </c>
      <c r="B225" s="12">
        <f>1000/A225</f>
        <v/>
      </c>
      <c r="C225" s="10">
        <f>Params!$E$8-(Params!$D$8/Params!$B$4)*(A225/1000)</f>
        <v/>
      </c>
      <c r="D225" s="10">
        <f>Params!$E$9-(Params!$D$9/Params!$B$4)*(A225/1000)</f>
        <v/>
      </c>
      <c r="E225" s="10">
        <f>Params!$E$10-(Params!$D$10/Params!$B$4)*(A225/1000)</f>
        <v/>
      </c>
      <c r="F225" s="13" t="inlineStr">
        <is>
          <t>⚠ 외삽 (측정 밖)</t>
        </is>
      </c>
    </row>
    <row r="226">
      <c r="A226" s="7" t="n">
        <v>3.19</v>
      </c>
      <c r="B226" s="12">
        <f>1000/A226</f>
        <v/>
      </c>
      <c r="C226" s="10">
        <f>Params!$E$8-(Params!$D$8/Params!$B$4)*(A226/1000)</f>
        <v/>
      </c>
      <c r="D226" s="10">
        <f>Params!$E$9-(Params!$D$9/Params!$B$4)*(A226/1000)</f>
        <v/>
      </c>
      <c r="E226" s="10">
        <f>Params!$E$10-(Params!$D$10/Params!$B$4)*(A226/1000)</f>
        <v/>
      </c>
      <c r="F226" s="13" t="inlineStr">
        <is>
          <t>⚠ 외삽 (측정 밖)</t>
        </is>
      </c>
    </row>
    <row r="227">
      <c r="A227" s="7" t="n">
        <v>3.2</v>
      </c>
      <c r="B227" s="12">
        <f>1000/A227</f>
        <v/>
      </c>
      <c r="C227" s="10">
        <f>Params!$E$8-(Params!$D$8/Params!$B$4)*(A227/1000)</f>
        <v/>
      </c>
      <c r="D227" s="10">
        <f>Params!$E$9-(Params!$D$9/Params!$B$4)*(A227/1000)</f>
        <v/>
      </c>
      <c r="E227" s="10">
        <f>Params!$E$10-(Params!$D$10/Params!$B$4)*(A227/1000)</f>
        <v/>
      </c>
      <c r="F227" s="13" t="inlineStr">
        <is>
          <t>⚠ 외삽 (측정 밖)</t>
        </is>
      </c>
    </row>
    <row r="228">
      <c r="A228" s="7" t="n">
        <v>3.21</v>
      </c>
      <c r="B228" s="12">
        <f>1000/A228</f>
        <v/>
      </c>
      <c r="C228" s="10">
        <f>Params!$E$8-(Params!$D$8/Params!$B$4)*(A228/1000)</f>
        <v/>
      </c>
      <c r="D228" s="10">
        <f>Params!$E$9-(Params!$D$9/Params!$B$4)*(A228/1000)</f>
        <v/>
      </c>
      <c r="E228" s="10">
        <f>Params!$E$10-(Params!$D$10/Params!$B$4)*(A228/1000)</f>
        <v/>
      </c>
      <c r="F228" s="13" t="inlineStr">
        <is>
          <t>⚠ 외삽 (측정 밖)</t>
        </is>
      </c>
    </row>
    <row r="229">
      <c r="A229" s="7" t="n">
        <v>3.22</v>
      </c>
      <c r="B229" s="12">
        <f>1000/A229</f>
        <v/>
      </c>
      <c r="C229" s="10">
        <f>Params!$E$8-(Params!$D$8/Params!$B$4)*(A229/1000)</f>
        <v/>
      </c>
      <c r="D229" s="10">
        <f>Params!$E$9-(Params!$D$9/Params!$B$4)*(A229/1000)</f>
        <v/>
      </c>
      <c r="E229" s="10">
        <f>Params!$E$10-(Params!$D$10/Params!$B$4)*(A229/1000)</f>
        <v/>
      </c>
      <c r="F229" s="13" t="inlineStr">
        <is>
          <t>⚠ 외삽 (측정 밖)</t>
        </is>
      </c>
    </row>
    <row r="230">
      <c r="A230" s="7" t="n">
        <v>3.23</v>
      </c>
      <c r="B230" s="12">
        <f>1000/A230</f>
        <v/>
      </c>
      <c r="C230" s="10">
        <f>Params!$E$8-(Params!$D$8/Params!$B$4)*(A230/1000)</f>
        <v/>
      </c>
      <c r="D230" s="10">
        <f>Params!$E$9-(Params!$D$9/Params!$B$4)*(A230/1000)</f>
        <v/>
      </c>
      <c r="E230" s="10">
        <f>Params!$E$10-(Params!$D$10/Params!$B$4)*(A230/1000)</f>
        <v/>
      </c>
      <c r="F230" s="13" t="inlineStr">
        <is>
          <t>⚠ 외삽 (측정 밖)</t>
        </is>
      </c>
    </row>
    <row r="231">
      <c r="A231" s="7" t="n">
        <v>3.24</v>
      </c>
      <c r="B231" s="12">
        <f>1000/A231</f>
        <v/>
      </c>
      <c r="C231" s="10">
        <f>Params!$E$8-(Params!$D$8/Params!$B$4)*(A231/1000)</f>
        <v/>
      </c>
      <c r="D231" s="10">
        <f>Params!$E$9-(Params!$D$9/Params!$B$4)*(A231/1000)</f>
        <v/>
      </c>
      <c r="E231" s="10">
        <f>Params!$E$10-(Params!$D$10/Params!$B$4)*(A231/1000)</f>
        <v/>
      </c>
      <c r="F231" s="13" t="inlineStr">
        <is>
          <t>⚠ 외삽 (측정 밖)</t>
        </is>
      </c>
    </row>
    <row r="232">
      <c r="A232" s="7" t="n">
        <v>3.25</v>
      </c>
      <c r="B232" s="12">
        <f>1000/A232</f>
        <v/>
      </c>
      <c r="C232" s="10">
        <f>Params!$E$8-(Params!$D$8/Params!$B$4)*(A232/1000)</f>
        <v/>
      </c>
      <c r="D232" s="10">
        <f>Params!$E$9-(Params!$D$9/Params!$B$4)*(A232/1000)</f>
        <v/>
      </c>
      <c r="E232" s="10">
        <f>Params!$E$10-(Params!$D$10/Params!$B$4)*(A232/1000)</f>
        <v/>
      </c>
      <c r="F232" s="13" t="inlineStr">
        <is>
          <t>⚠ 외삽 (측정 밖)</t>
        </is>
      </c>
    </row>
    <row r="233">
      <c r="A233" s="7" t="n">
        <v>3.26</v>
      </c>
      <c r="B233" s="12">
        <f>1000/A233</f>
        <v/>
      </c>
      <c r="C233" s="10">
        <f>Params!$E$8-(Params!$D$8/Params!$B$4)*(A233/1000)</f>
        <v/>
      </c>
      <c r="D233" s="10">
        <f>Params!$E$9-(Params!$D$9/Params!$B$4)*(A233/1000)</f>
        <v/>
      </c>
      <c r="E233" s="10">
        <f>Params!$E$10-(Params!$D$10/Params!$B$4)*(A233/1000)</f>
        <v/>
      </c>
      <c r="F233" s="13" t="inlineStr">
        <is>
          <t>⚠ 외삽 (측정 밖)</t>
        </is>
      </c>
    </row>
    <row r="234">
      <c r="A234" s="7" t="n">
        <v>3.27</v>
      </c>
      <c r="B234" s="12">
        <f>1000/A234</f>
        <v/>
      </c>
      <c r="C234" s="10">
        <f>Params!$E$8-(Params!$D$8/Params!$B$4)*(A234/1000)</f>
        <v/>
      </c>
      <c r="D234" s="10">
        <f>Params!$E$9-(Params!$D$9/Params!$B$4)*(A234/1000)</f>
        <v/>
      </c>
      <c r="E234" s="10">
        <f>Params!$E$10-(Params!$D$10/Params!$B$4)*(A234/1000)</f>
        <v/>
      </c>
      <c r="F234" s="13" t="inlineStr">
        <is>
          <t>⚠ 외삽 (측정 밖)</t>
        </is>
      </c>
    </row>
    <row r="235">
      <c r="A235" s="7" t="n">
        <v>3.28</v>
      </c>
      <c r="B235" s="12">
        <f>1000/A235</f>
        <v/>
      </c>
      <c r="C235" s="10">
        <f>Params!$E$8-(Params!$D$8/Params!$B$4)*(A235/1000)</f>
        <v/>
      </c>
      <c r="D235" s="10">
        <f>Params!$E$9-(Params!$D$9/Params!$B$4)*(A235/1000)</f>
        <v/>
      </c>
      <c r="E235" s="10">
        <f>Params!$E$10-(Params!$D$10/Params!$B$4)*(A235/1000)</f>
        <v/>
      </c>
      <c r="F235" s="13" t="inlineStr">
        <is>
          <t>⚠ 외삽 (측정 밖)</t>
        </is>
      </c>
    </row>
    <row r="236">
      <c r="A236" s="7" t="n">
        <v>3.29</v>
      </c>
      <c r="B236" s="12">
        <f>1000/A236</f>
        <v/>
      </c>
      <c r="C236" s="10">
        <f>Params!$E$8-(Params!$D$8/Params!$B$4)*(A236/1000)</f>
        <v/>
      </c>
      <c r="D236" s="10">
        <f>Params!$E$9-(Params!$D$9/Params!$B$4)*(A236/1000)</f>
        <v/>
      </c>
      <c r="E236" s="10">
        <f>Params!$E$10-(Params!$D$10/Params!$B$4)*(A236/1000)</f>
        <v/>
      </c>
      <c r="F236" s="13" t="inlineStr">
        <is>
          <t>⚠ 외삽 (측정 밖)</t>
        </is>
      </c>
    </row>
    <row r="237">
      <c r="A237" s="7" t="n">
        <v>3.3</v>
      </c>
      <c r="B237" s="12">
        <f>1000/A237</f>
        <v/>
      </c>
      <c r="C237" s="10">
        <f>Params!$E$8-(Params!$D$8/Params!$B$4)*(A237/1000)</f>
        <v/>
      </c>
      <c r="D237" s="10">
        <f>Params!$E$9-(Params!$D$9/Params!$B$4)*(A237/1000)</f>
        <v/>
      </c>
      <c r="E237" s="10">
        <f>Params!$E$10-(Params!$D$10/Params!$B$4)*(A237/1000)</f>
        <v/>
      </c>
      <c r="F237" s="13" t="inlineStr">
        <is>
          <t>⚠ 외삽 (측정 밖)</t>
        </is>
      </c>
    </row>
    <row r="238">
      <c r="A238" s="7" t="n">
        <v>3.31</v>
      </c>
      <c r="B238" s="12">
        <f>1000/A238</f>
        <v/>
      </c>
      <c r="C238" s="10">
        <f>Params!$E$8-(Params!$D$8/Params!$B$4)*(A238/1000)</f>
        <v/>
      </c>
      <c r="D238" s="10">
        <f>Params!$E$9-(Params!$D$9/Params!$B$4)*(A238/1000)</f>
        <v/>
      </c>
      <c r="E238" s="10">
        <f>Params!$E$10-(Params!$D$10/Params!$B$4)*(A238/1000)</f>
        <v/>
      </c>
      <c r="F238" s="13" t="inlineStr">
        <is>
          <t>⚠ 외삽 (측정 밖)</t>
        </is>
      </c>
    </row>
    <row r="239">
      <c r="A239" s="7" t="n">
        <v>3.32</v>
      </c>
      <c r="B239" s="12">
        <f>1000/A239</f>
        <v/>
      </c>
      <c r="C239" s="10">
        <f>Params!$E$8-(Params!$D$8/Params!$B$4)*(A239/1000)</f>
        <v/>
      </c>
      <c r="D239" s="10">
        <f>Params!$E$9-(Params!$D$9/Params!$B$4)*(A239/1000)</f>
        <v/>
      </c>
      <c r="E239" s="10">
        <f>Params!$E$10-(Params!$D$10/Params!$B$4)*(A239/1000)</f>
        <v/>
      </c>
      <c r="F239" s="13" t="inlineStr">
        <is>
          <t>⚠ 외삽 (측정 밖)</t>
        </is>
      </c>
    </row>
    <row r="240">
      <c r="A240" s="7" t="n">
        <v>3.33</v>
      </c>
      <c r="B240" s="12">
        <f>1000/A240</f>
        <v/>
      </c>
      <c r="C240" s="10">
        <f>Params!$E$8-(Params!$D$8/Params!$B$4)*(A240/1000)</f>
        <v/>
      </c>
      <c r="D240" s="10">
        <f>Params!$E$9-(Params!$D$9/Params!$B$4)*(A240/1000)</f>
        <v/>
      </c>
      <c r="E240" s="10">
        <f>Params!$E$10-(Params!$D$10/Params!$B$4)*(A240/1000)</f>
        <v/>
      </c>
      <c r="F240" s="13" t="inlineStr">
        <is>
          <t>⚠ 외삽 (측정 밖)</t>
        </is>
      </c>
    </row>
    <row r="241">
      <c r="A241" s="7" t="n">
        <v>3.34</v>
      </c>
      <c r="B241" s="12">
        <f>1000/A241</f>
        <v/>
      </c>
      <c r="C241" s="10">
        <f>Params!$E$8-(Params!$D$8/Params!$B$4)*(A241/1000)</f>
        <v/>
      </c>
      <c r="D241" s="10">
        <f>Params!$E$9-(Params!$D$9/Params!$B$4)*(A241/1000)</f>
        <v/>
      </c>
      <c r="E241" s="10">
        <f>Params!$E$10-(Params!$D$10/Params!$B$4)*(A241/1000)</f>
        <v/>
      </c>
      <c r="F241" s="13" t="inlineStr">
        <is>
          <t>⚠ 외삽 (측정 밖)</t>
        </is>
      </c>
    </row>
    <row r="243">
      <c r="A243" s="4" t="inlineStr">
        <is>
          <t>측정 구간은 1000/T = 1.00~1.67 (600~1000 K) 입니다. 그 밖은 '⚠ 외삽' 으로 표시했습니다 — 그림에서는 실선/점선을 나눠 그려 주세요.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5" customWidth="1" min="4" max="4"/>
    <col width="17" customWidth="1" min="5" max="5"/>
    <col width="12" customWidth="1" min="6" max="6"/>
    <col width="12" customWidth="1" min="7" max="7"/>
    <col width="9" customWidth="1" min="8" max="8"/>
    <col width="22" customWidth="1" min="9" max="9"/>
  </cols>
  <sheetData>
    <row r="1">
      <c r="A1" s="14" t="inlineStr">
        <is>
          <t>300 K 외삽 — 우리 적합선을 그대로 연장한 값 (1저자 요청 2026-09-07)</t>
        </is>
      </c>
    </row>
    <row r="2">
      <c r="A2" s="4" t="inlineStr">
        <is>
          <t>⚠ 이 시트의 값은 **측정 밖**입니다. 적합 구간(1000/T 1.00~1.67)의 끝점에서 2배 지점(3.33)까지 늘린 것이고, 아래 밴드는 Ea 오차막대(±1σ)만 반영한 것입니다 — 그것만으로도 6~14배 벌어집니다.</t>
        </is>
      </c>
    </row>
    <row r="3">
      <c r="A3" s="4" t="inlineStr">
        <is>
          <t>⛔ 논문·발표 인용 불가. 내부 비교·감각용으로만 쓰세요. 사유는 READ_ME 시트.</t>
        </is>
      </c>
    </row>
    <row r="5">
      <c r="A5" s="5" t="inlineStr">
        <is>
          <t>system</t>
        </is>
      </c>
      <c r="B5" s="5" t="inlineStr">
        <is>
          <t>Ea_fit_eV</t>
        </is>
      </c>
      <c r="C5" s="5" t="inlineStr">
        <is>
          <t>Ea_err_eV</t>
        </is>
      </c>
      <c r="D5" s="5" t="inlineStr">
        <is>
          <t>D(300K)_cm2_s</t>
        </is>
      </c>
      <c r="E5" s="5" t="inlineStr">
        <is>
          <t>sigma(300K)_mS/cm</t>
        </is>
      </c>
      <c r="F5" s="5" t="inlineStr">
        <is>
          <t>sigma −1σ</t>
        </is>
      </c>
      <c r="G5" s="5" t="inlineStr">
        <is>
          <t>sigma +1σ</t>
        </is>
      </c>
      <c r="H5" s="5" t="inlineStr">
        <is>
          <t>배율폭</t>
        </is>
      </c>
      <c r="I5" s="5" t="inlineStr">
        <is>
          <t>status</t>
        </is>
      </c>
    </row>
    <row r="6">
      <c r="A6" s="6" t="inlineStr">
        <is>
          <t>LPSCl1.6</t>
        </is>
      </c>
      <c r="B6" s="10">
        <f>Params!$D$8</f>
        <v/>
      </c>
      <c r="C6" s="15">
        <f>Params!$C$8</f>
        <v/>
      </c>
      <c r="D6" s="16">
        <f>Params!$F$8*EXP(-B6/(Params!$B$4*Params!$B$5))</f>
        <v/>
      </c>
      <c r="E6" s="17">
        <f>1000*Params!$H$8*Params!$B$2^2*D6/(Params!$B$3*Params!$B$5)</f>
        <v/>
      </c>
      <c r="F6" s="17">
        <f>1000*Params!$H$8*Params!$B$2^2*(Params!$F$8*EXP(-(B6+C6)/(Params!$B$4*Params!$B$5)))/(Params!$B$3*Params!$B$5)</f>
        <v/>
      </c>
      <c r="G6" s="17">
        <f>1000*Params!$H$8*Params!$B$2^2*(Params!$F$8*EXP(-(B6-C6)/(Params!$B$4*Params!$B$5)))/(Params!$B$3*Params!$B$5)</f>
        <v/>
      </c>
      <c r="H6" s="18">
        <f>G6/F6</f>
        <v/>
      </c>
      <c r="I6" s="6" t="inlineStr">
        <is>
          <t>baseline</t>
        </is>
      </c>
    </row>
    <row r="7">
      <c r="A7" s="6" t="inlineStr">
        <is>
          <t>LPSOCl1.6</t>
        </is>
      </c>
      <c r="B7" s="10">
        <f>Params!$D$9</f>
        <v/>
      </c>
      <c r="C7" s="15">
        <f>Params!$C$9</f>
        <v/>
      </c>
      <c r="D7" s="16">
        <f>Params!$F$9*EXP(-B7/(Params!$B$4*Params!$B$5))</f>
        <v/>
      </c>
      <c r="E7" s="17">
        <f>1000*Params!$H$9*Params!$B$2^2*D7/(Params!$B$3*Params!$B$5)</f>
        <v/>
      </c>
      <c r="F7" s="17">
        <f>1000*Params!$H$9*Params!$B$2^2*(Params!$F$9*EXP(-(B7+C7)/(Params!$B$4*Params!$B$5)))/(Params!$B$3*Params!$B$5)</f>
        <v/>
      </c>
      <c r="G7" s="17">
        <f>1000*Params!$H$9*Params!$B$2^2*(Params!$F$9*EXP(-(B7-C7)/(Params!$B$4*Params!$B$5)))/(Params!$B$3*Params!$B$5)</f>
        <v/>
      </c>
      <c r="H7" s="18">
        <f>G7/F7</f>
        <v/>
      </c>
      <c r="I7" s="6" t="inlineStr">
        <is>
          <t>baseline</t>
        </is>
      </c>
    </row>
    <row r="8">
      <c r="A8" s="6" t="inlineStr">
        <is>
          <t>B2O3@LPSCl1.6</t>
        </is>
      </c>
      <c r="B8" s="10">
        <f>Params!$D$10</f>
        <v/>
      </c>
      <c r="C8" s="15">
        <f>Params!$C$10</f>
        <v/>
      </c>
      <c r="D8" s="16">
        <f>Params!$F$10*EXP(-B8/(Params!$B$4*Params!$B$5))</f>
        <v/>
      </c>
      <c r="E8" s="17">
        <f>1000*Params!$H$10*Params!$B$2^2*D8/(Params!$B$3*Params!$B$5)</f>
        <v/>
      </c>
      <c r="F8" s="17">
        <f>1000*Params!$H$10*Params!$B$2^2*(Params!$F$10*EXP(-(B8+C8)/(Params!$B$4*Params!$B$5)))/(Params!$B$3*Params!$B$5)</f>
        <v/>
      </c>
      <c r="G8" s="17">
        <f>1000*Params!$H$10*Params!$B$2^2*(Params!$F$10*EXP(-(B8-C8)/(Params!$B$4*Params!$B$5)))/(Params!$B$3*Params!$B$5)</f>
        <v/>
      </c>
      <c r="H8" s="18">
        <f>G8/F8</f>
        <v/>
      </c>
      <c r="I8" s="13" t="inlineStr">
        <is>
          <t>RETRACTED 2026-08-25</t>
        </is>
      </c>
    </row>
    <row r="10">
      <c r="A10" s="2" t="inlineStr"/>
    </row>
    <row r="11">
      <c r="A11" s="3" t="inlineStr">
        <is>
          <t>■ 이 값을 읽을 때 같이 기억할 것</t>
        </is>
      </c>
    </row>
    <row r="12">
      <c r="A12" s="4" t="inlineStr">
        <is>
          <t>1) B2O3 는 직선이 아닙니다 — 600→800 구간 Ea 0.151 eV, 800→1000 구간 0.294 eV (145 meV 차).</t>
        </is>
      </c>
    </row>
    <row r="13">
      <c r="A13" s="4" t="inlineStr">
        <is>
          <t xml:space="preserve">   굽은 선을 300 K 까지 늘린 값이라 위 밴드보다도 더 불확실합니다. 이 축은 2026-08-25 철회됐습니다.</t>
        </is>
      </c>
    </row>
    <row r="14">
      <c r="A14" s="4" t="inlineStr">
        <is>
          <t>2) ⚠ sigma 는 Haven ratio H_R = 1 을 가정한 값입니다 — **상한이 아닙니다.** H_R = D*/D_sigma 규약에서</t>
        </is>
      </c>
    </row>
    <row r="15">
      <c r="A15" s="4" t="inlineStr">
        <is>
          <t xml:space="preserve">   H_R&lt;1 이면 NE 는 오히려 과소입니다. 저희 궤적에서 직접 재 보니 H_R ~ 0.84 (600-1200 K, 방향 판별용)</t>
        </is>
      </c>
    </row>
    <row r="16">
      <c r="A16" s="4" t="inlineStr">
        <is>
          <t xml:space="preserve">   라 보정은 +19 % 뿐이고 아래 밴드(12배) 안에 잠기므로 **이 표에는 적용하지 않았습니다.**</t>
        </is>
      </c>
    </row>
    <row r="17">
      <c r="A17" s="4" t="inlineStr">
        <is>
          <t xml:space="preserve">   문헌값(Adeli 2019: 300 K 다결정 펠릿, H_R=0.23)은 조건이 달라 이 MD 값에 곱하면 안 됩니다.</t>
        </is>
      </c>
    </row>
    <row r="18">
      <c r="A18" s="4" t="inlineStr">
        <is>
          <t>3) MD 는 NVT(부피 고정)라 열팽창이 없습니다. 300 K 의 실제 격자는 이 셀과 다릅니다.</t>
        </is>
      </c>
    </row>
    <row r="19">
      <c r="A19" s="4" t="inlineStr">
        <is>
          <t>4) 밴드는 Ea 오차만 반영합니다 — D0 불확실도·곡률·프로토콜 편향은 안 들어가 있습니다 (즉 실제는 더 넓습니다).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1" customWidth="1" min="3" max="3"/>
    <col width="14" customWidth="1" min="4" max="4"/>
    <col width="11" customWidth="1" min="5" max="5"/>
    <col width="13" customWidth="1" min="6" max="6"/>
    <col width="9" customWidth="1" min="7" max="7"/>
    <col width="13" customWidth="1" min="8" max="8"/>
    <col width="22" customWidth="1" min="9" max="9"/>
  </cols>
  <sheetData>
    <row r="1">
      <c r="A1" s="3" t="inlineStr">
        <is>
          <t>물리상수 (파란 글씨 = 고정 입력, 검정 = 수식)</t>
        </is>
      </c>
    </row>
    <row r="2">
      <c r="A2" s="2" t="inlineStr">
        <is>
          <t>e  [C]</t>
        </is>
      </c>
      <c r="B2" s="19" t="n">
        <v>1.602176634e-19</v>
      </c>
    </row>
    <row r="3">
      <c r="A3" s="2" t="inlineStr">
        <is>
          <t>k_B  [J/K]</t>
        </is>
      </c>
      <c r="B3" s="19" t="n">
        <v>1.380649e-23</v>
      </c>
    </row>
    <row r="4">
      <c r="A4" s="2" t="inlineStr">
        <is>
          <t>k_B  [eV/K]</t>
        </is>
      </c>
      <c r="B4" s="19" t="n">
        <v>8.617333262e-05</v>
      </c>
    </row>
    <row r="5">
      <c r="A5" s="2" t="inlineStr">
        <is>
          <t>T_RT [K]</t>
        </is>
      </c>
      <c r="B5" s="20" t="n">
        <v>300</v>
      </c>
    </row>
    <row r="7">
      <c r="A7" s="5" t="inlineStr">
        <is>
          <t>system</t>
        </is>
      </c>
      <c r="B7" s="5" t="inlineStr">
        <is>
          <t>Ea_ledger_eV</t>
        </is>
      </c>
      <c r="C7" s="5" t="inlineStr">
        <is>
          <t>Ea_err_eV</t>
        </is>
      </c>
      <c r="D7" s="5" t="inlineStr">
        <is>
          <t>Ea_fit_eV
(이 3점 적합)</t>
        </is>
      </c>
      <c r="E7" s="5" t="inlineStr">
        <is>
          <t>lnD0</t>
        </is>
      </c>
      <c r="F7" s="5" t="inlineStr">
        <is>
          <t>D0_cm2_s</t>
        </is>
      </c>
      <c r="G7" s="5" t="inlineStr">
        <is>
          <t>R2</t>
        </is>
      </c>
      <c r="H7" s="5" t="inlineStr">
        <is>
          <t>n_Li_cm-3</t>
        </is>
      </c>
      <c r="I7" s="5" t="inlineStr">
        <is>
          <t>status</t>
        </is>
      </c>
    </row>
    <row r="8">
      <c r="A8" s="6" t="inlineStr">
        <is>
          <t>LPSCl1.6</t>
        </is>
      </c>
      <c r="B8" s="7" t="n">
        <v>0.197</v>
      </c>
      <c r="C8" s="7" t="n">
        <v>0.032</v>
      </c>
      <c r="D8" s="7" t="n">
        <v>0.197397</v>
      </c>
      <c r="E8" s="7" t="n">
        <v>-7.643831</v>
      </c>
      <c r="F8" s="16">
        <f>EXP(E8)</f>
        <v/>
      </c>
      <c r="G8" s="6" t="n">
        <v>0.99796</v>
      </c>
      <c r="H8" s="11" t="n">
        <v>2.22e+22</v>
      </c>
      <c r="I8" s="6" t="inlineStr">
        <is>
          <t>baseline</t>
        </is>
      </c>
    </row>
    <row r="9">
      <c r="A9" s="6" t="inlineStr">
        <is>
          <t>LPSOCl1.6</t>
        </is>
      </c>
      <c r="B9" s="7" t="n">
        <v>0.287</v>
      </c>
      <c r="C9" s="7" t="n">
        <v>0.024</v>
      </c>
      <c r="D9" s="7" t="n">
        <v>0.284846</v>
      </c>
      <c r="E9" s="7" t="n">
        <v>-6.478222</v>
      </c>
      <c r="F9" s="16">
        <f>EXP(E9)</f>
        <v/>
      </c>
      <c r="G9" s="6" t="n">
        <v>0.99974</v>
      </c>
      <c r="H9" s="11" t="n">
        <v>2.242e+22</v>
      </c>
      <c r="I9" s="6" t="inlineStr">
        <is>
          <t>baseline</t>
        </is>
      </c>
    </row>
    <row r="10">
      <c r="A10" s="6" t="inlineStr">
        <is>
          <t>B2O3@LPSCl1.6</t>
        </is>
      </c>
      <c r="B10" s="7" t="n">
        <v>0.199</v>
      </c>
      <c r="C10" s="7" t="n">
        <v>0.034</v>
      </c>
      <c r="D10" s="7" t="n">
        <v>0.199443</v>
      </c>
      <c r="E10" s="7" t="n">
        <v>-7.678907</v>
      </c>
      <c r="F10" s="16">
        <f>EXP(E10)</f>
        <v/>
      </c>
      <c r="G10" s="6" t="n">
        <v>0.96507</v>
      </c>
      <c r="H10" s="11" t="n">
        <v>2.381e+22</v>
      </c>
      <c r="I10" s="13" t="inlineStr">
        <is>
          <t>RETRACTED 2026-08-25</t>
        </is>
      </c>
    </row>
    <row r="12">
      <c r="A12" s="21" t="inlineStr">
        <is>
          <t>⚠ Ea_ledger 와 Ea_fit 이 최대 2.2 meV 다릅니다. 원장값은 시드별 적합의 평균이고, 여기 적합은 시드평균 D 3점의 최소제곱선입니다(Jensen). 그림의 선은 Ea_fit 쪽입니다.</t>
        </is>
      </c>
    </row>
    <row r="13">
      <c r="A13" s="21" t="inlineStr">
        <is>
          <t>⚠ Ea_err 는 600 K 멀티시드 산포입니다 — 평균의 신뢰구간이 아니라 run-to-run 변동입니다.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2026-09-07T13:56:43Z</dcterms:created>
  <dcterms:modified xmlns:dcterms="http://purl.org/dc/terms/" xmlns:xsi="http://www.w3.org/2001/XMLSchema-instance" xsi:type="dcterms:W3CDTF">2026-09-07T13:56:44Z</dcterms:modified>
</cp:coreProperties>
</file>