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Data" sheetId="2" state="visible" r:id="rId4"/>
    <sheet name="FitLines" sheetId="3" state="visible" r:id="rId5"/>
    <sheet name="RT_extrapolation" sheetId="4" state="visible" r:id="rId6"/>
    <sheet name="Para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<sst xmlns="http://schemas.openxmlformats.org/spreadsheetml/2006/main" count="352" uniqueCount="81">
  <si>
    <t xml:space="preserve">Arrhenius — LPSCl1.6 / LPSOCl1.6 / B2O3@LPSCl1.6   (2026-09-07)</t>
  </si>
  <si>
    <t xml:space="preserve">■ 시트 안내</t>
  </si>
  <si>
    <r>
      <rPr>
        <sz val="10"/>
        <rFont val="Arial"/>
        <family val="0"/>
        <charset val="1"/>
      </rPr>
      <t xml:space="preserve">Params            : </t>
    </r>
    <r>
      <rPr>
        <sz val="10"/>
        <rFont val="WenQuanYi Zen Hei"/>
        <family val="2"/>
      </rPr>
      <t xml:space="preserve">적합 파라미터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파란 글씨만 입력이고 나머지는 수식 — </t>
    </r>
    <r>
      <rPr>
        <sz val="10"/>
        <rFont val="Arial"/>
        <family val="0"/>
        <charset val="1"/>
      </rPr>
      <t xml:space="preserve">Ea </t>
    </r>
    <r>
      <rPr>
        <sz val="10"/>
        <rFont val="WenQuanYi Zen Hei"/>
        <family val="2"/>
      </rPr>
      <t xml:space="preserve">를 바꾸면 다른 시트가 따라 움직입니다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</si>
  <si>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Data              : </t>
    </r>
    <r>
      <rPr>
        <sz val="10"/>
        <rFont val="WenQuanYi Zen Hei"/>
        <family val="2"/>
      </rPr>
      <t xml:space="preserve">측정점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계 </t>
    </r>
    <r>
      <rPr>
        <sz val="10"/>
        <rFont val="Arial"/>
        <family val="0"/>
        <charset val="1"/>
      </rPr>
      <t xml:space="preserve">× 600/800/1000 K). sigma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에서 계산된 수식입니다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</si>
  <si>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FitLines          : </t>
    </r>
    <r>
      <rPr>
        <sz val="10"/>
        <rFont val="WenQuanYi Zen Hei"/>
        <family val="2"/>
      </rPr>
      <t xml:space="preserve">그림의 직선</t>
    </r>
    <r>
      <rPr>
        <sz val="10"/>
        <rFont val="Arial"/>
        <family val="0"/>
        <charset val="1"/>
      </rPr>
      <t xml:space="preserve">. 1000/T 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x, lnD_* 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y </t>
    </r>
    <r>
      <rPr>
        <sz val="10"/>
        <rFont val="WenQuanYi Zen Hei"/>
        <family val="2"/>
      </rPr>
      <t xml:space="preserve">로 그리세요</t>
    </r>
    <r>
      <rPr>
        <sz val="10"/>
        <rFont val="Arial"/>
        <family val="0"/>
        <charset val="1"/>
      </rPr>
      <t xml:space="preserve">. '</t>
    </r>
    <r>
      <rPr>
        <sz val="10"/>
        <rFont val="WenQuanYi Zen Hei"/>
        <family val="2"/>
      </rPr>
      <t xml:space="preserve">구간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열이 측정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외삽을 갈라 줍니다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</si>
  <si>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RT_extrapolation  : 300 K </t>
    </r>
    <r>
      <rPr>
        <sz val="10"/>
        <rFont val="WenQuanYi Zen Hei"/>
        <family val="2"/>
      </rPr>
      <t xml:space="preserve">외삽값 </t>
    </r>
    <r>
      <rPr>
        <sz val="10"/>
        <rFont val="Arial"/>
        <family val="0"/>
        <charset val="1"/>
      </rPr>
      <t xml:space="preserve">+ Ea </t>
    </r>
    <r>
      <rPr>
        <sz val="10"/>
        <rFont val="WenQuanYi Zen Hei"/>
        <family val="2"/>
      </rPr>
      <t xml:space="preserve">오차 밴드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</si>
  <si>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■ sigma </t>
    </r>
    <r>
      <rPr>
        <b val="true"/>
        <sz val="11"/>
        <rFont val="WenQuanYi Zen Hei"/>
        <family val="2"/>
      </rPr>
      <t xml:space="preserve">와 </t>
    </r>
    <r>
      <rPr>
        <b val="true"/>
        <sz val="11"/>
        <rFont val="Arial"/>
        <family val="0"/>
        <charset val="1"/>
      </rPr>
      <t xml:space="preserve">Ea </t>
    </r>
    <r>
      <rPr>
        <b val="true"/>
        <sz val="11"/>
        <rFont val="WenQuanYi Zen Hei"/>
        <family val="2"/>
      </rPr>
      <t xml:space="preserve">는 서로 다른 층위입니다</t>
    </r>
  </si>
  <si>
    <r>
      <rPr>
        <b val="true"/>
        <sz val="10"/>
        <color rgb="FFB91C1C"/>
        <rFont val="Arial"/>
        <family val="0"/>
        <charset val="1"/>
      </rPr>
      <t xml:space="preserve">⚠ 2026-09-07 </t>
    </r>
    <r>
      <rPr>
        <b val="true"/>
        <sz val="10"/>
        <color rgb="FFB91C1C"/>
        <rFont val="WenQuanYi Zen Hei"/>
        <family val="2"/>
      </rPr>
      <t xml:space="preserve">정정</t>
    </r>
    <r>
      <rPr>
        <b val="true"/>
        <sz val="10"/>
        <color rgb="FFB91C1C"/>
        <rFont val="Arial"/>
        <family val="0"/>
        <charset val="1"/>
      </rPr>
      <t xml:space="preserve">: </t>
    </r>
    <r>
      <rPr>
        <b val="true"/>
        <sz val="10"/>
        <color rgb="FFB91C1C"/>
        <rFont val="WenQuanYi Zen Hei"/>
        <family val="2"/>
      </rPr>
      <t xml:space="preserve">저희가 종전에 </t>
    </r>
    <r>
      <rPr>
        <b val="true"/>
        <sz val="10"/>
        <color rgb="FFB91C1C"/>
        <rFont val="Arial"/>
        <family val="0"/>
        <charset val="1"/>
      </rPr>
      <t xml:space="preserve">sigma </t>
    </r>
    <r>
      <rPr>
        <b val="true"/>
        <sz val="10"/>
        <color rgb="FFB91C1C"/>
        <rFont val="WenQuanYi Zen Hei"/>
        <family val="2"/>
      </rPr>
      <t xml:space="preserve">를 </t>
    </r>
    <r>
      <rPr>
        <b val="true"/>
        <sz val="10"/>
        <color rgb="FFB91C1C"/>
        <rFont val="Arial"/>
        <family val="0"/>
        <charset val="1"/>
      </rPr>
      <t xml:space="preserve">'NE upper bound' </t>
    </r>
    <r>
      <rPr>
        <b val="true"/>
        <sz val="10"/>
        <color rgb="FFB91C1C"/>
        <rFont val="WenQuanYi Zen Hei"/>
        <family val="2"/>
      </rPr>
      <t xml:space="preserve">라고 적었는데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부호가 틀렸습니다</t>
    </r>
    <r>
      <rPr>
        <b val="true"/>
        <sz val="10"/>
        <color rgb="FFB91C1C"/>
        <rFont val="Arial"/>
        <family val="0"/>
        <charset val="1"/>
      </rPr>
      <t xml:space="preserve">.**</t>
    </r>
  </si>
  <si>
    <r>
      <rPr>
        <b val="true"/>
        <sz val="10"/>
        <color rgb="FFB91C1C"/>
        <rFont val="Arial"/>
        <family val="0"/>
        <charset val="1"/>
      </rPr>
      <t xml:space="preserve">   H_R&lt;1 </t>
    </r>
    <r>
      <rPr>
        <b val="true"/>
        <sz val="10"/>
        <color rgb="FFB91C1C"/>
        <rFont val="WenQuanYi Zen Hei"/>
        <family val="2"/>
      </rPr>
      <t xml:space="preserve">이면 </t>
    </r>
    <r>
      <rPr>
        <b val="true"/>
        <sz val="10"/>
        <color rgb="FFB91C1C"/>
        <rFont val="Arial"/>
        <family val="0"/>
        <charset val="1"/>
      </rPr>
      <t xml:space="preserve">NE </t>
    </r>
    <r>
      <rPr>
        <b val="true"/>
        <sz val="10"/>
        <color rgb="FFB91C1C"/>
        <rFont val="WenQuanYi Zen Hei"/>
        <family val="2"/>
      </rPr>
      <t xml:space="preserve">는 과소이고</t>
    </r>
    <r>
      <rPr>
        <b val="true"/>
        <sz val="10"/>
        <color rgb="FFB91C1C"/>
        <rFont val="Arial"/>
        <family val="0"/>
        <charset val="1"/>
      </rPr>
      <t xml:space="preserve">, </t>
    </r>
    <r>
      <rPr>
        <b val="true"/>
        <sz val="10"/>
        <color rgb="FFB91C1C"/>
        <rFont val="WenQuanYi Zen Hei"/>
        <family val="2"/>
      </rPr>
      <t xml:space="preserve">펠릿 입계는 반대로 실험을 낮춥니다 — 순 방향이 정해지지 않아 절대값을 못 씁니다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</si>
  <si>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   같은 양끼리 대면 잘 맞습니다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우리 </t>
    </r>
    <r>
      <rPr>
        <sz val="10"/>
        <rFont val="Arial"/>
        <family val="0"/>
        <charset val="1"/>
      </rPr>
      <t xml:space="preserve">D*(300 K) 1.02e-7 vs Adeli 7Li PFG </t>
    </r>
    <r>
      <rPr>
        <sz val="10"/>
        <rFont val="WenQuanYi Zen Hei"/>
        <family val="2"/>
      </rPr>
      <t xml:space="preserve">실측 </t>
    </r>
    <r>
      <rPr>
        <sz val="10"/>
        <rFont val="Arial"/>
        <family val="0"/>
        <charset val="1"/>
      </rPr>
      <t xml:space="preserve">D* 1.01e-7 cm^2/s.</t>
    </r>
  </si>
  <si>
    <r>
      <rPr>
        <sz val="10"/>
        <rFont val="Arial"/>
        <family val="0"/>
        <charset val="1"/>
      </rPr>
      <t xml:space="preserve">sigma(T) = n · e² · D(T) / (k_B · T)    ← </t>
    </r>
    <r>
      <rPr>
        <sz val="10"/>
        <rFont val="WenQuanYi Zen Hei"/>
        <family val="2"/>
      </rPr>
      <t xml:space="preserve">그 온도의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하나만 씁니다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다른 온도 정보가 안 들어갑니다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</si>
  <si>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Ea       = ln D vs 1/T </t>
    </r>
    <r>
      <rPr>
        <sz val="10"/>
        <rFont val="WenQuanYi Zen Hei"/>
        <family val="2"/>
      </rPr>
      <t xml:space="preserve">직선의 기울기     ← 세 점 전부를 써서 계마다 하나 나옵니다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</si>
  <si>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B91C1C"/>
        <rFont val="Arial"/>
        <family val="0"/>
        <charset val="1"/>
      </rPr>
      <t xml:space="preserve">⚠ sigma </t>
    </r>
    <r>
      <rPr>
        <b val="true"/>
        <sz val="10"/>
        <color rgb="FFB91C1C"/>
        <rFont val="WenQuanYi Zen Hei"/>
        <family val="2"/>
      </rPr>
      <t xml:space="preserve">를 </t>
    </r>
    <r>
      <rPr>
        <b val="true"/>
        <sz val="10"/>
        <color rgb="FFB91C1C"/>
        <rFont val="Arial"/>
        <family val="0"/>
        <charset val="1"/>
      </rPr>
      <t xml:space="preserve">Arrhenius </t>
    </r>
    <r>
      <rPr>
        <b val="true"/>
        <sz val="10"/>
        <color rgb="FFB91C1C"/>
        <rFont val="WenQuanYi Zen Hei"/>
        <family val="2"/>
      </rPr>
      <t xml:space="preserve">로 그릴 때는 </t>
    </r>
    <r>
      <rPr>
        <b val="true"/>
        <sz val="10"/>
        <color rgb="FFB91C1C"/>
        <rFont val="Arial"/>
        <family val="0"/>
        <charset val="1"/>
      </rPr>
      <t xml:space="preserve">sigma </t>
    </r>
    <r>
      <rPr>
        <b val="true"/>
        <sz val="10"/>
        <color rgb="FFB91C1C"/>
        <rFont val="WenQuanYi Zen Hei"/>
        <family val="2"/>
      </rPr>
      <t xml:space="preserve">가 아니라 </t>
    </r>
    <r>
      <rPr>
        <b val="true"/>
        <sz val="10"/>
        <color rgb="FFB91C1C"/>
        <rFont val="Arial"/>
        <family val="0"/>
        <charset val="1"/>
      </rPr>
      <t xml:space="preserve">sigma×T </t>
    </r>
    <r>
      <rPr>
        <b val="true"/>
        <sz val="10"/>
        <color rgb="FFB91C1C"/>
        <rFont val="WenQuanYi Zen Hei"/>
        <family val="2"/>
      </rPr>
      <t xml:space="preserve">를 세로축에 두세요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</si>
  <si>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1/T </t>
    </r>
    <r>
      <rPr>
        <sz val="10"/>
        <rFont val="WenQuanYi Zen Hei"/>
        <family val="2"/>
      </rPr>
      <t xml:space="preserve">인자 때문에 </t>
    </r>
    <r>
      <rPr>
        <sz val="10"/>
        <rFont val="Arial"/>
        <family val="0"/>
        <charset val="1"/>
      </rPr>
      <t xml:space="preserve">ln(sigma) </t>
    </r>
    <r>
      <rPr>
        <sz val="10"/>
        <rFont val="WenQuanYi Zen Hei"/>
        <family val="2"/>
      </rPr>
      <t xml:space="preserve">기울기가 </t>
    </r>
    <r>
      <rPr>
        <sz val="10"/>
        <rFont val="Arial"/>
        <family val="0"/>
        <charset val="1"/>
      </rPr>
      <t xml:space="preserve">ln(D) </t>
    </r>
    <r>
      <rPr>
        <sz val="10"/>
        <rFont val="WenQuanYi Zen Hei"/>
        <family val="2"/>
      </rPr>
      <t xml:space="preserve">기울기보다 </t>
    </r>
    <r>
      <rPr>
        <sz val="10"/>
        <rFont val="Arial"/>
        <family val="0"/>
        <charset val="1"/>
      </rPr>
      <t xml:space="preserve">0.065 eV </t>
    </r>
    <r>
      <rPr>
        <sz val="10"/>
        <rFont val="WenQuanYi Zen Hei"/>
        <family val="2"/>
      </rPr>
      <t xml:space="preserve">낮게 나옵니다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우리 데이터 실측</t>
    </r>
    <r>
      <rPr>
        <sz val="10"/>
        <rFont val="Arial"/>
        <family val="0"/>
        <charset val="1"/>
      </rPr>
      <t xml:space="preserve">).</t>
    </r>
  </si>
  <si>
    <r>
      <rPr>
        <b val="true"/>
        <sz val="11"/>
        <rFont val="Arial"/>
        <family val="0"/>
        <charset val="1"/>
      </rPr>
      <t xml:space="preserve">■ 300 K </t>
    </r>
    <r>
      <rPr>
        <b val="true"/>
        <sz val="11"/>
        <rFont val="WenQuanYi Zen Hei"/>
        <family val="2"/>
      </rPr>
      <t xml:space="preserve">외삽에 대하여</t>
    </r>
  </si>
  <si>
    <r>
      <rPr>
        <sz val="10"/>
        <rFont val="WenQuanYi Zen Hei"/>
        <family val="2"/>
      </rPr>
      <t xml:space="preserve">요청하신 값은 </t>
    </r>
    <r>
      <rPr>
        <sz val="10"/>
        <rFont val="Arial"/>
        <family val="0"/>
        <charset val="1"/>
      </rPr>
      <t xml:space="preserve">RT_extrapolation </t>
    </r>
    <r>
      <rPr>
        <sz val="10"/>
        <rFont val="WenQuanYi Zen Hei"/>
        <family val="2"/>
      </rPr>
      <t xml:space="preserve">시트에 넣었습니다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아래를 같이 봐 주세요</t>
    </r>
    <r>
      <rPr>
        <sz val="10"/>
        <rFont val="Arial"/>
        <family val="0"/>
        <charset val="1"/>
      </rPr>
      <t xml:space="preserve">:</t>
    </r>
  </si>
  <si>
    <r>
      <rPr>
        <b val="true"/>
        <sz val="10"/>
        <color rgb="FFB91C1C"/>
        <rFont val="Arial"/>
        <family val="0"/>
        <charset val="1"/>
      </rPr>
      <t xml:space="preserve">· </t>
    </r>
    <r>
      <rPr>
        <b val="true"/>
        <sz val="10"/>
        <color rgb="FFB91C1C"/>
        <rFont val="WenQuanYi Zen Hei"/>
        <family val="2"/>
      </rPr>
      <t xml:space="preserve">외삽 거리 — 적합 구간은 </t>
    </r>
    <r>
      <rPr>
        <b val="true"/>
        <sz val="10"/>
        <color rgb="FFB91C1C"/>
        <rFont val="Arial"/>
        <family val="0"/>
        <charset val="1"/>
      </rPr>
      <t xml:space="preserve">1000/T = 1.00~1.67. 300 K </t>
    </r>
    <r>
      <rPr>
        <b val="true"/>
        <sz val="10"/>
        <color rgb="FFB91C1C"/>
        <rFont val="WenQuanYi Zen Hei"/>
        <family val="2"/>
      </rPr>
      <t xml:space="preserve">는 </t>
    </r>
    <r>
      <rPr>
        <b val="true"/>
        <sz val="10"/>
        <color rgb="FFB91C1C"/>
        <rFont val="Arial"/>
        <family val="0"/>
        <charset val="1"/>
      </rPr>
      <t xml:space="preserve">3.33 </t>
    </r>
    <r>
      <rPr>
        <b val="true"/>
        <sz val="10"/>
        <color rgb="FFB91C1C"/>
        <rFont val="WenQuanYi Zen Hei"/>
        <family val="2"/>
      </rPr>
      <t xml:space="preserve">으로 측정 끝점의 </t>
    </r>
    <r>
      <rPr>
        <b val="true"/>
        <sz val="10"/>
        <color rgb="FFB91C1C"/>
        <rFont val="Arial"/>
        <family val="0"/>
        <charset val="1"/>
      </rPr>
      <t xml:space="preserve">**2</t>
    </r>
    <r>
      <rPr>
        <b val="true"/>
        <sz val="10"/>
        <color rgb="FFB91C1C"/>
        <rFont val="WenQuanYi Zen Hei"/>
        <family val="2"/>
      </rPr>
      <t xml:space="preserve">배 지점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입니다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</si>
  <si>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Arial"/>
        <family val="0"/>
        <charset val="1"/>
      </rPr>
      <t xml:space="preserve">· Ea </t>
    </r>
    <r>
      <rPr>
        <b val="true"/>
        <sz val="10"/>
        <color rgb="FFB91C1C"/>
        <rFont val="WenQuanYi Zen Hei"/>
        <family val="2"/>
      </rPr>
      <t xml:space="preserve">오차막대만 넣어도 </t>
    </r>
    <r>
      <rPr>
        <b val="true"/>
        <sz val="10"/>
        <color rgb="FFB91C1C"/>
        <rFont val="Arial"/>
        <family val="0"/>
        <charset val="1"/>
      </rPr>
      <t xml:space="preserve">sigma(300 K) </t>
    </r>
    <r>
      <rPr>
        <b val="true"/>
        <sz val="10"/>
        <color rgb="FFB91C1C"/>
        <rFont val="WenQuanYi Zen Hei"/>
        <family val="2"/>
      </rPr>
      <t xml:space="preserve">가 </t>
    </r>
    <r>
      <rPr>
        <b val="true"/>
        <sz val="10"/>
        <color rgb="FFB91C1C"/>
        <rFont val="Arial"/>
        <family val="0"/>
        <charset val="1"/>
      </rPr>
      <t xml:space="preserve">6~14</t>
    </r>
    <r>
      <rPr>
        <b val="true"/>
        <sz val="10"/>
        <color rgb="FFB91C1C"/>
        <rFont val="WenQuanYi Zen Hei"/>
        <family val="2"/>
      </rPr>
      <t xml:space="preserve">배 벌어집니다 </t>
    </r>
    <r>
      <rPr>
        <b val="true"/>
        <sz val="10"/>
        <color rgb="FFB91C1C"/>
        <rFont val="Arial"/>
        <family val="0"/>
        <charset val="1"/>
      </rPr>
      <t xml:space="preserve">(</t>
    </r>
    <r>
      <rPr>
        <b val="true"/>
        <sz val="10"/>
        <color rgb="FFB91C1C"/>
        <rFont val="WenQuanYi Zen Hei"/>
        <family val="2"/>
      </rPr>
      <t xml:space="preserve">그 시트의 밴드</t>
    </r>
    <r>
      <rPr>
        <b val="true"/>
        <sz val="10"/>
        <color rgb="FFB91C1C"/>
        <rFont val="Arial"/>
        <family val="0"/>
        <charset val="1"/>
      </rPr>
      <t xml:space="preserve">).</t>
    </r>
  </si>
  <si>
    <r>
      <rPr>
        <b val="true"/>
        <sz val="10"/>
        <color rgb="FFB91C1C"/>
        <rFont val="Arial"/>
        <family val="0"/>
        <charset val="1"/>
      </rPr>
      <t xml:space="preserve">· B2O3 </t>
    </r>
    <r>
      <rPr>
        <b val="true"/>
        <sz val="10"/>
        <color rgb="FFB91C1C"/>
        <rFont val="WenQuanYi Zen Hei"/>
        <family val="2"/>
      </rPr>
      <t xml:space="preserve">는 직선이 아니고</t>
    </r>
    <r>
      <rPr>
        <b val="true"/>
        <sz val="10"/>
        <color rgb="FFB91C1C"/>
        <rFont val="Arial"/>
        <family val="0"/>
        <charset val="1"/>
      </rPr>
      <t xml:space="preserve">(</t>
    </r>
    <r>
      <rPr>
        <b val="true"/>
        <sz val="10"/>
        <color rgb="FFB91C1C"/>
        <rFont val="WenQuanYi Zen Hei"/>
        <family val="2"/>
      </rPr>
      <t xml:space="preserve">구간 </t>
    </r>
    <r>
      <rPr>
        <b val="true"/>
        <sz val="10"/>
        <color rgb="FFB91C1C"/>
        <rFont val="Arial"/>
        <family val="0"/>
        <charset val="1"/>
      </rPr>
      <t xml:space="preserve">Ea 0.151 vs 0.294 eV) </t>
    </r>
    <r>
      <rPr>
        <b val="true"/>
        <sz val="10"/>
        <color rgb="FFB91C1C"/>
        <rFont val="WenQuanYi Zen Hei"/>
        <family val="2"/>
      </rPr>
      <t xml:space="preserve">이 축은 </t>
    </r>
    <r>
      <rPr>
        <b val="true"/>
        <sz val="10"/>
        <color rgb="FFB91C1C"/>
        <rFont val="Arial"/>
        <family val="0"/>
        <charset val="1"/>
      </rPr>
      <t xml:space="preserve">2026-08-25 </t>
    </r>
    <r>
      <rPr>
        <b val="true"/>
        <sz val="10"/>
        <color rgb="FFB91C1C"/>
        <rFont val="WenQuanYi Zen Hei"/>
        <family val="2"/>
      </rPr>
      <t xml:space="preserve">철회됐습니다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</si>
  <si>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WenQuanYi Zen Hei"/>
        <family val="2"/>
      </rPr>
      <t xml:space="preserve">⇒ 내부 감각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비교용으로는 쓰실 수 있지만</t>
    </r>
    <r>
      <rPr>
        <b val="true"/>
        <sz val="10"/>
        <color rgb="FFB91C1C"/>
        <rFont val="Arial"/>
        <family val="0"/>
        <charset val="1"/>
      </rPr>
      <t xml:space="preserve">, </t>
    </r>
    <r>
      <rPr>
        <b val="true"/>
        <sz val="10"/>
        <color rgb="FFB91C1C"/>
        <rFont val="WenQuanYi Zen Hei"/>
        <family val="2"/>
      </rPr>
      <t xml:space="preserve">논문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발표 수치로는 인용하지 말아 주세요</t>
    </r>
    <r>
      <rPr>
        <b val="true"/>
        <sz val="10"/>
        <color rgb="FFB91C1C"/>
        <rFont val="Arial"/>
        <family val="0"/>
        <charset val="1"/>
      </rPr>
      <t xml:space="preserve">.</t>
    </r>
  </si>
  <si>
    <t xml:space="preserve">■ 인용 규칙</t>
  </si>
  <si>
    <r>
      <rPr>
        <sz val="10"/>
        <rFont val="WenQuanYi Zen Hei"/>
        <family val="2"/>
      </rPr>
      <t xml:space="preserve">허용 </t>
    </r>
    <r>
      <rPr>
        <sz val="10"/>
        <rFont val="Arial"/>
        <family val="0"/>
        <charset val="1"/>
      </rPr>
      <t xml:space="preserve">: Ea </t>
    </r>
    <r>
      <rPr>
        <sz val="10"/>
        <rFont val="WenQuanYi Zen Hei"/>
        <family val="2"/>
      </rPr>
      <t xml:space="preserve">값과 오차막대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같은 프로토콜 안에서의 계 간 상대 비교 </t>
    </r>
    <r>
      <rPr>
        <sz val="10"/>
        <rFont val="Arial"/>
        <family val="0"/>
        <charset val="1"/>
      </rPr>
      <t xml:space="preserve">· MSD </t>
    </r>
    <r>
      <rPr>
        <sz val="10"/>
        <rFont val="WenQuanYi Zen Hei"/>
        <family val="2"/>
      </rPr>
      <t xml:space="preserve">곡선 모양</t>
    </r>
  </si>
  <si>
    <r>
      <rPr>
        <b val="true"/>
        <sz val="10"/>
        <color rgb="FFB91C1C"/>
        <rFont val="WenQuanYi Zen Hei"/>
        <family val="2"/>
      </rPr>
      <t xml:space="preserve">금지 </t>
    </r>
    <r>
      <rPr>
        <b val="true"/>
        <sz val="10"/>
        <color rgb="FFB91C1C"/>
        <rFont val="Arial"/>
        <family val="0"/>
        <charset val="1"/>
      </rPr>
      <t xml:space="preserve">: sigma </t>
    </r>
    <r>
      <rPr>
        <b val="true"/>
        <sz val="10"/>
        <color rgb="FFB91C1C"/>
        <rFont val="WenQuanYi Zen Hei"/>
        <family val="2"/>
      </rPr>
      <t xml:space="preserve">절대값 </t>
    </r>
    <r>
      <rPr>
        <b val="true"/>
        <sz val="10"/>
        <color rgb="FFB91C1C"/>
        <rFont val="Arial"/>
        <family val="0"/>
        <charset val="1"/>
      </rPr>
      <t xml:space="preserve">· 300 K </t>
    </r>
    <r>
      <rPr>
        <b val="true"/>
        <sz val="10"/>
        <color rgb="FFB91C1C"/>
        <rFont val="WenQuanYi Zen Hei"/>
        <family val="2"/>
      </rPr>
      <t xml:space="preserve">외삽 </t>
    </r>
    <r>
      <rPr>
        <b val="true"/>
        <sz val="10"/>
        <color rgb="FFB91C1C"/>
        <rFont val="Arial"/>
        <family val="0"/>
        <charset val="1"/>
      </rPr>
      <t xml:space="preserve">· B2O3 </t>
    </r>
    <r>
      <rPr>
        <b val="true"/>
        <sz val="10"/>
        <color rgb="FFB91C1C"/>
        <rFont val="WenQuanYi Zen Hei"/>
        <family val="2"/>
      </rPr>
      <t xml:space="preserve">의 </t>
    </r>
    <r>
      <rPr>
        <b val="true"/>
        <sz val="10"/>
        <color rgb="FFB91C1C"/>
        <rFont val="Arial"/>
        <family val="0"/>
        <charset val="1"/>
      </rPr>
      <t xml:space="preserve">D/Ea/sigma(</t>
    </r>
    <r>
      <rPr>
        <b val="true"/>
        <sz val="10"/>
        <color rgb="FFB91C1C"/>
        <rFont val="WenQuanYi Zen Hei"/>
        <family val="2"/>
      </rPr>
      <t xml:space="preserve">철회</t>
    </r>
    <r>
      <rPr>
        <b val="true"/>
        <sz val="10"/>
        <color rgb="FFB91C1C"/>
        <rFont val="Arial"/>
        <family val="0"/>
        <charset val="1"/>
      </rPr>
      <t xml:space="preserve">) · </t>
    </r>
    <r>
      <rPr>
        <b val="true"/>
        <sz val="10"/>
        <color rgb="FFB91C1C"/>
        <rFont val="WenQuanYi Zen Hei"/>
        <family val="2"/>
      </rPr>
      <t xml:space="preserve">다른 프로토콜 값과 한 표에 놓기</t>
    </r>
  </si>
  <si>
    <t xml:space="preserve">■ 프로토콜 세대</t>
  </si>
  <si>
    <t xml:space="preserve">Predates the 2026-08 MTO / trajectory-retention / 4-window standard. Ea values are protocol-conditioned; not comparable to the 400 ps campaign.</t>
  </si>
  <si>
    <r>
      <rPr>
        <sz val="10"/>
        <rFont val="Arial"/>
        <family val="0"/>
        <charset val="1"/>
      </rPr>
      <t xml:space="preserve">(UMA-s-1p1 omat · Langevin NVT dt 2 fs · MSD </t>
    </r>
    <r>
      <rPr>
        <sz val="10"/>
        <rFont val="WenQuanYi Zen Hei"/>
        <family val="2"/>
      </rPr>
      <t xml:space="preserve">창 </t>
    </r>
    <r>
      <rPr>
        <sz val="10"/>
        <rFont val="Arial"/>
        <family val="0"/>
        <charset val="1"/>
      </rPr>
      <t xml:space="preserve">2-50 ps </t>
    </r>
    <r>
      <rPr>
        <sz val="10"/>
        <rFont val="WenQuanYi Zen Hei"/>
        <family val="2"/>
      </rPr>
      <t xml:space="preserve">자유절편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생산 </t>
    </r>
    <r>
      <rPr>
        <sz val="10"/>
        <rFont val="Arial"/>
        <family val="0"/>
        <charset val="1"/>
      </rPr>
      <t xml:space="preserve">200 ps)</t>
    </r>
  </si>
  <si>
    <t xml:space="preserve">LPSCl1.6 / B2O3 = 3 seeds × 3 T (2026-07-07) · LPSOCl1.6 = 4 seeds × 3 T (2026-07-27)</t>
  </si>
  <si>
    <r>
      <rPr>
        <sz val="10"/>
        <rFont val="WenQuanYi Zen Hei"/>
        <family val="2"/>
      </rPr>
      <t xml:space="preserve">원자료 </t>
    </r>
    <r>
      <rPr>
        <sz val="10"/>
        <rFont val="Arial"/>
        <family val="0"/>
        <charset val="1"/>
      </rPr>
      <t xml:space="preserve">: db/properties/b2o3_vs_lpscl16_conductivity.csv · lpsocl_md_arrhenius.json</t>
    </r>
  </si>
  <si>
    <r>
      <rPr>
        <sz val="10"/>
        <rFont val="WenQuanYi Zen Hei"/>
        <family val="2"/>
      </rPr>
      <t xml:space="preserve">설명   </t>
    </r>
    <r>
      <rPr>
        <sz val="10"/>
        <rFont val="Arial"/>
        <family val="0"/>
        <charset val="1"/>
      </rPr>
      <t xml:space="preserve">: kb/concepts/msd_reading.md</t>
    </r>
  </si>
  <si>
    <t xml:space="preserve">system</t>
  </si>
  <si>
    <t xml:space="preserve">T_K</t>
  </si>
  <si>
    <t xml:space="preserve">1000/T [1/K]</t>
  </si>
  <si>
    <t xml:space="preserve">D_cm2_s</t>
  </si>
  <si>
    <t xml:space="preserve">ln D</t>
  </si>
  <si>
    <t xml:space="preserve">n_Li_cm-3</t>
  </si>
  <si>
    <t xml:space="preserve">sigma_mS/cm</t>
  </si>
  <si>
    <t xml:space="preserve">status</t>
  </si>
  <si>
    <t xml:space="preserve">LPSCl1.6</t>
  </si>
  <si>
    <t xml:space="preserve">baseline</t>
  </si>
  <si>
    <t xml:space="preserve">LPSOCl1.6</t>
  </si>
  <si>
    <t xml:space="preserve">B2O3@LPSCl1.6</t>
  </si>
  <si>
    <t xml:space="preserve">RETRACTED 2026-08-25</t>
  </si>
  <si>
    <r>
      <rPr>
        <b val="true"/>
        <sz val="10"/>
        <color rgb="FFB91C1C"/>
        <rFont val="Arial"/>
        <family val="0"/>
        <charset val="1"/>
      </rPr>
      <t xml:space="preserve">⚠ sigma </t>
    </r>
    <r>
      <rPr>
        <b val="true"/>
        <sz val="10"/>
        <color rgb="FFB91C1C"/>
        <rFont val="WenQuanYi Zen Hei"/>
        <family val="2"/>
      </rPr>
      <t xml:space="preserve">는 </t>
    </r>
    <r>
      <rPr>
        <b val="true"/>
        <sz val="10"/>
        <color rgb="FFB91C1C"/>
        <rFont val="Arial"/>
        <family val="0"/>
        <charset val="1"/>
      </rPr>
      <t xml:space="preserve">Haven ratio H_R=1 </t>
    </r>
    <r>
      <rPr>
        <b val="true"/>
        <sz val="10"/>
        <color rgb="FFB91C1C"/>
        <rFont val="WenQuanYi Zen Hei"/>
        <family val="2"/>
      </rPr>
      <t xml:space="preserve">을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가정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한 값입니다 — 상한이 아닙니다</t>
    </r>
    <r>
      <rPr>
        <b val="true"/>
        <sz val="10"/>
        <color rgb="FFB91C1C"/>
        <rFont val="Arial"/>
        <family val="0"/>
        <charset val="1"/>
      </rPr>
      <t xml:space="preserve">. READ_ME </t>
    </r>
    <r>
      <rPr>
        <b val="true"/>
        <sz val="10"/>
        <color rgb="FFB91C1C"/>
        <rFont val="WenQuanYi Zen Hei"/>
        <family val="2"/>
      </rPr>
      <t xml:space="preserve">참조</t>
    </r>
    <r>
      <rPr>
        <b val="true"/>
        <sz val="10"/>
        <color rgb="FFB91C1C"/>
        <rFont val="Arial"/>
        <family val="0"/>
        <charset val="1"/>
      </rPr>
      <t xml:space="preserve">.</t>
    </r>
  </si>
  <si>
    <t xml:space="preserve">lnD_LPSCl1.6</t>
  </si>
  <si>
    <t xml:space="preserve">lnD_LPSOCl1.6</t>
  </si>
  <si>
    <t xml:space="preserve">lnD_B2O3 (RETRACTED)</t>
  </si>
  <si>
    <t xml:space="preserve">구간</t>
  </si>
  <si>
    <r>
      <rPr>
        <sz val="10"/>
        <rFont val="WenQuanYi Zen Hei"/>
        <family val="2"/>
      </rPr>
      <t xml:space="preserve">측정 구간 </t>
    </r>
    <r>
      <rPr>
        <sz val="10"/>
        <rFont val="Arial"/>
        <family val="0"/>
        <charset val="1"/>
      </rPr>
      <t xml:space="preserve">(600-1000 K)</t>
    </r>
  </si>
  <si>
    <r>
      <rPr>
        <b val="true"/>
        <sz val="10"/>
        <color rgb="FFB91C1C"/>
        <rFont val="WenQuanYi Zen Hei"/>
        <family val="2"/>
      </rPr>
      <t xml:space="preserve">⚠ 외삽 </t>
    </r>
    <r>
      <rPr>
        <b val="true"/>
        <sz val="10"/>
        <color rgb="FFB91C1C"/>
        <rFont val="Arial"/>
        <family val="0"/>
        <charset val="1"/>
      </rPr>
      <t xml:space="preserve">(</t>
    </r>
    <r>
      <rPr>
        <b val="true"/>
        <sz val="10"/>
        <color rgb="FFB91C1C"/>
        <rFont val="WenQuanYi Zen Hei"/>
        <family val="2"/>
      </rPr>
      <t xml:space="preserve">측정 밖</t>
    </r>
    <r>
      <rPr>
        <b val="true"/>
        <sz val="10"/>
        <color rgb="FFB91C1C"/>
        <rFont val="Arial"/>
        <family val="0"/>
        <charset val="1"/>
      </rPr>
      <t xml:space="preserve">)</t>
    </r>
  </si>
  <si>
    <r>
      <rPr>
        <b val="true"/>
        <sz val="10"/>
        <color rgb="FFB91C1C"/>
        <rFont val="WenQuanYi Zen Hei"/>
        <family val="2"/>
      </rPr>
      <t xml:space="preserve">측정 구간은 </t>
    </r>
    <r>
      <rPr>
        <b val="true"/>
        <sz val="10"/>
        <color rgb="FFB91C1C"/>
        <rFont val="Arial"/>
        <family val="0"/>
        <charset val="1"/>
      </rPr>
      <t xml:space="preserve">1000/T = 1.00~1.67 (600~1000 K) </t>
    </r>
    <r>
      <rPr>
        <b val="true"/>
        <sz val="10"/>
        <color rgb="FFB91C1C"/>
        <rFont val="WenQuanYi Zen Hei"/>
        <family val="2"/>
      </rPr>
      <t xml:space="preserve">입니다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그 밖은 </t>
    </r>
    <r>
      <rPr>
        <b val="true"/>
        <sz val="10"/>
        <color rgb="FFB91C1C"/>
        <rFont val="Arial"/>
        <family val="0"/>
        <charset val="1"/>
      </rPr>
      <t xml:space="preserve">'⚠ </t>
    </r>
    <r>
      <rPr>
        <b val="true"/>
        <sz val="10"/>
        <color rgb="FFB91C1C"/>
        <rFont val="WenQuanYi Zen Hei"/>
        <family val="2"/>
      </rPr>
      <t xml:space="preserve">외삽</t>
    </r>
    <r>
      <rPr>
        <b val="true"/>
        <sz val="10"/>
        <color rgb="FFB91C1C"/>
        <rFont val="Arial"/>
        <family val="0"/>
        <charset val="1"/>
      </rPr>
      <t xml:space="preserve">' </t>
    </r>
    <r>
      <rPr>
        <b val="true"/>
        <sz val="10"/>
        <color rgb="FFB91C1C"/>
        <rFont val="WenQuanYi Zen Hei"/>
        <family val="2"/>
      </rPr>
      <t xml:space="preserve">으로 표시했습니다 — 그림에서는 실선</t>
    </r>
    <r>
      <rPr>
        <b val="true"/>
        <sz val="10"/>
        <color rgb="FFB91C1C"/>
        <rFont val="Arial"/>
        <family val="0"/>
        <charset val="1"/>
      </rPr>
      <t xml:space="preserve">/</t>
    </r>
    <r>
      <rPr>
        <b val="true"/>
        <sz val="10"/>
        <color rgb="FFB91C1C"/>
        <rFont val="WenQuanYi Zen Hei"/>
        <family val="2"/>
      </rPr>
      <t xml:space="preserve">점선을 나눠 그려 주세요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</si>
  <si>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300 K </t>
    </r>
    <r>
      <rPr>
        <b val="true"/>
        <sz val="12"/>
        <rFont val="WenQuanYi Zen Hei"/>
        <family val="2"/>
      </rPr>
      <t xml:space="preserve">외삽 — 우리 적합선을 그대로 연장한 값 </t>
    </r>
    <r>
      <rPr>
        <b val="true"/>
        <sz val="12"/>
        <rFont val="Arial"/>
        <family val="0"/>
        <charset val="1"/>
      </rPr>
      <t xml:space="preserve">(1</t>
    </r>
    <r>
      <rPr>
        <b val="true"/>
        <sz val="12"/>
        <rFont val="WenQuanYi Zen Hei"/>
        <family val="2"/>
      </rPr>
      <t xml:space="preserve">저자 요청 </t>
    </r>
    <r>
      <rPr>
        <b val="true"/>
        <sz val="12"/>
        <rFont val="Arial"/>
        <family val="0"/>
        <charset val="1"/>
      </rPr>
      <t xml:space="preserve">2026-09-07)</t>
    </r>
  </si>
  <si>
    <r>
      <rPr>
        <b val="true"/>
        <sz val="10"/>
        <color rgb="FFB91C1C"/>
        <rFont val="WenQuanYi Zen Hei"/>
        <family val="2"/>
      </rPr>
      <t xml:space="preserve">⚠ 이 시트의 값은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측정 밖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입니다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적합 구간</t>
    </r>
    <r>
      <rPr>
        <b val="true"/>
        <sz val="10"/>
        <color rgb="FFB91C1C"/>
        <rFont val="Arial"/>
        <family val="0"/>
        <charset val="1"/>
      </rPr>
      <t xml:space="preserve">(1000/T 1.00~1.67)</t>
    </r>
    <r>
      <rPr>
        <b val="true"/>
        <sz val="10"/>
        <color rgb="FFB91C1C"/>
        <rFont val="WenQuanYi Zen Hei"/>
        <family val="2"/>
      </rPr>
      <t xml:space="preserve">의 끝점에서 </t>
    </r>
    <r>
      <rPr>
        <b val="true"/>
        <sz val="10"/>
        <color rgb="FFB91C1C"/>
        <rFont val="Arial"/>
        <family val="0"/>
        <charset val="1"/>
      </rPr>
      <t xml:space="preserve">2</t>
    </r>
    <r>
      <rPr>
        <b val="true"/>
        <sz val="10"/>
        <color rgb="FFB91C1C"/>
        <rFont val="WenQuanYi Zen Hei"/>
        <family val="2"/>
      </rPr>
      <t xml:space="preserve">배 지점</t>
    </r>
    <r>
      <rPr>
        <b val="true"/>
        <sz val="10"/>
        <color rgb="FFB91C1C"/>
        <rFont val="Arial"/>
        <family val="0"/>
        <charset val="1"/>
      </rPr>
      <t xml:space="preserve">(3.33)</t>
    </r>
    <r>
      <rPr>
        <b val="true"/>
        <sz val="10"/>
        <color rgb="FFB91C1C"/>
        <rFont val="WenQuanYi Zen Hei"/>
        <family val="2"/>
      </rPr>
      <t xml:space="preserve">까지 늘린 것이고</t>
    </r>
    <r>
      <rPr>
        <b val="true"/>
        <sz val="10"/>
        <color rgb="FFB91C1C"/>
        <rFont val="Arial"/>
        <family val="0"/>
        <charset val="1"/>
      </rPr>
      <t xml:space="preserve">, </t>
    </r>
    <r>
      <rPr>
        <b val="true"/>
        <sz val="10"/>
        <color rgb="FFB91C1C"/>
        <rFont val="WenQuanYi Zen Hei"/>
        <family val="2"/>
      </rPr>
      <t xml:space="preserve">아래 밴드는 </t>
    </r>
    <r>
      <rPr>
        <b val="true"/>
        <sz val="10"/>
        <color rgb="FFB91C1C"/>
        <rFont val="Arial"/>
        <family val="0"/>
        <charset val="1"/>
      </rPr>
      <t xml:space="preserve">Ea </t>
    </r>
    <r>
      <rPr>
        <b val="true"/>
        <sz val="10"/>
        <color rgb="FFB91C1C"/>
        <rFont val="WenQuanYi Zen Hei"/>
        <family val="2"/>
      </rPr>
      <t xml:space="preserve">오차막대</t>
    </r>
    <r>
      <rPr>
        <b val="true"/>
        <sz val="10"/>
        <color rgb="FFB91C1C"/>
        <rFont val="Arial"/>
        <family val="0"/>
        <charset val="1"/>
      </rPr>
      <t xml:space="preserve">(±1σ)</t>
    </r>
    <r>
      <rPr>
        <b val="true"/>
        <sz val="10"/>
        <color rgb="FFB91C1C"/>
        <rFont val="WenQuanYi Zen Hei"/>
        <family val="2"/>
      </rPr>
      <t xml:space="preserve">만 반영한 것입니다 — 그것만으로도 </t>
    </r>
    <r>
      <rPr>
        <b val="true"/>
        <sz val="10"/>
        <color rgb="FFB91C1C"/>
        <rFont val="Arial"/>
        <family val="0"/>
        <charset val="1"/>
      </rPr>
      <t xml:space="preserve">6~14</t>
    </r>
    <r>
      <rPr>
        <b val="true"/>
        <sz val="10"/>
        <color rgb="FFB91C1C"/>
        <rFont val="WenQuanYi Zen Hei"/>
        <family val="2"/>
      </rPr>
      <t xml:space="preserve">배 벌어집니다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</si>
  <si>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WenQuanYi Zen Hei"/>
        <family val="2"/>
      </rPr>
      <t xml:space="preserve">⛔ 논문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발표 인용 불가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내부 비교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감각용으로만 쓰세요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사유는 </t>
    </r>
    <r>
      <rPr>
        <b val="true"/>
        <sz val="10"/>
        <color rgb="FFB91C1C"/>
        <rFont val="Arial"/>
        <family val="0"/>
        <charset val="1"/>
      </rPr>
      <t xml:space="preserve">READ_ME </t>
    </r>
    <r>
      <rPr>
        <b val="true"/>
        <sz val="10"/>
        <color rgb="FFB91C1C"/>
        <rFont val="WenQuanYi Zen Hei"/>
        <family val="2"/>
      </rPr>
      <t xml:space="preserve">시트</t>
    </r>
    <r>
      <rPr>
        <b val="true"/>
        <sz val="10"/>
        <color rgb="FFB91C1C"/>
        <rFont val="Arial"/>
        <family val="0"/>
        <charset val="1"/>
      </rPr>
      <t xml:space="preserve">.</t>
    </r>
  </si>
  <si>
    <t xml:space="preserve">Ea_fit_eV</t>
  </si>
  <si>
    <t xml:space="preserve">Ea_err_eV</t>
  </si>
  <si>
    <t xml:space="preserve">D(300K)_cm2_s</t>
  </si>
  <si>
    <t xml:space="preserve">sigma(300K)_mS/cm</t>
  </si>
  <si>
    <t xml:space="preserve">sigma −1σ</t>
  </si>
  <si>
    <t xml:space="preserve">sigma +1σ</t>
  </si>
  <si>
    <t xml:space="preserve">배율폭</t>
  </si>
  <si>
    <t xml:space="preserve">■ 이 값을 읽을 때 같이 기억할 것</t>
  </si>
  <si>
    <r>
      <rPr>
        <b val="true"/>
        <sz val="10"/>
        <color rgb="FFB91C1C"/>
        <rFont val="Arial"/>
        <family val="0"/>
        <charset val="1"/>
      </rPr>
      <t xml:space="preserve">1) B2O3 </t>
    </r>
    <r>
      <rPr>
        <b val="true"/>
        <sz val="10"/>
        <color rgb="FFB91C1C"/>
        <rFont val="WenQuanYi Zen Hei"/>
        <family val="2"/>
      </rPr>
      <t xml:space="preserve">는 직선이 아닙니다 — </t>
    </r>
    <r>
      <rPr>
        <b val="true"/>
        <sz val="10"/>
        <color rgb="FFB91C1C"/>
        <rFont val="Arial"/>
        <family val="0"/>
        <charset val="1"/>
      </rPr>
      <t xml:space="preserve">600→800 </t>
    </r>
    <r>
      <rPr>
        <b val="true"/>
        <sz val="10"/>
        <color rgb="FFB91C1C"/>
        <rFont val="WenQuanYi Zen Hei"/>
        <family val="2"/>
      </rPr>
      <t xml:space="preserve">구간 </t>
    </r>
    <r>
      <rPr>
        <b val="true"/>
        <sz val="10"/>
        <color rgb="FFB91C1C"/>
        <rFont val="Arial"/>
        <family val="0"/>
        <charset val="1"/>
      </rPr>
      <t xml:space="preserve">Ea 0.151 eV, 800→1000 </t>
    </r>
    <r>
      <rPr>
        <b val="true"/>
        <sz val="10"/>
        <color rgb="FFB91C1C"/>
        <rFont val="WenQuanYi Zen Hei"/>
        <family val="2"/>
      </rPr>
      <t xml:space="preserve">구간 </t>
    </r>
    <r>
      <rPr>
        <b val="true"/>
        <sz val="10"/>
        <color rgb="FFB91C1C"/>
        <rFont val="Arial"/>
        <family val="0"/>
        <charset val="1"/>
      </rPr>
      <t xml:space="preserve">0.294 eV (145 meV </t>
    </r>
    <r>
      <rPr>
        <b val="true"/>
        <sz val="10"/>
        <color rgb="FFB91C1C"/>
        <rFont val="WenQuanYi Zen Hei"/>
        <family val="2"/>
      </rPr>
      <t xml:space="preserve">차</t>
    </r>
    <r>
      <rPr>
        <b val="true"/>
        <sz val="10"/>
        <color rgb="FFB91C1C"/>
        <rFont val="Arial"/>
        <family val="0"/>
        <charset val="1"/>
      </rPr>
      <t xml:space="preserve">).</t>
    </r>
  </si>
  <si>
    <r>
      <rPr>
        <b val="true"/>
        <sz val="10"/>
        <color rgb="FFB91C1C"/>
        <rFont val="WenQuanYi Zen Hei"/>
        <family val="2"/>
      </rPr>
      <t xml:space="preserve">   굽은 선을 </t>
    </r>
    <r>
      <rPr>
        <b val="true"/>
        <sz val="10"/>
        <color rgb="FFB91C1C"/>
        <rFont val="Arial"/>
        <family val="0"/>
        <charset val="1"/>
      </rPr>
      <t xml:space="preserve">300 K </t>
    </r>
    <r>
      <rPr>
        <b val="true"/>
        <sz val="10"/>
        <color rgb="FFB91C1C"/>
        <rFont val="WenQuanYi Zen Hei"/>
        <family val="2"/>
      </rPr>
      <t xml:space="preserve">까지 늘린 값이라 위 밴드보다도 더 불확실합니다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이 축은 </t>
    </r>
    <r>
      <rPr>
        <b val="true"/>
        <sz val="10"/>
        <color rgb="FFB91C1C"/>
        <rFont val="Arial"/>
        <family val="0"/>
        <charset val="1"/>
      </rPr>
      <t xml:space="preserve">2026-08-25 </t>
    </r>
    <r>
      <rPr>
        <b val="true"/>
        <sz val="10"/>
        <color rgb="FFB91C1C"/>
        <rFont val="WenQuanYi Zen Hei"/>
        <family val="2"/>
      </rPr>
      <t xml:space="preserve">철회됐습니다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</si>
  <si>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Arial"/>
        <family val="0"/>
        <charset val="1"/>
      </rPr>
      <t xml:space="preserve">2) ⚠ sigma </t>
    </r>
    <r>
      <rPr>
        <b val="true"/>
        <sz val="10"/>
        <color rgb="FFB91C1C"/>
        <rFont val="WenQuanYi Zen Hei"/>
        <family val="2"/>
      </rPr>
      <t xml:space="preserve">는 </t>
    </r>
    <r>
      <rPr>
        <b val="true"/>
        <sz val="10"/>
        <color rgb="FFB91C1C"/>
        <rFont val="Arial"/>
        <family val="0"/>
        <charset val="1"/>
      </rPr>
      <t xml:space="preserve">H_R=1 </t>
    </r>
    <r>
      <rPr>
        <b val="true"/>
        <sz val="10"/>
        <color rgb="FFB91C1C"/>
        <rFont val="WenQuanYi Zen Hei"/>
        <family val="2"/>
      </rPr>
      <t xml:space="preserve">을 가정한 값이고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상한이 아닙니다</t>
    </r>
    <r>
      <rPr>
        <b val="true"/>
        <sz val="10"/>
        <color rgb="FFB91C1C"/>
        <rFont val="Arial"/>
        <family val="0"/>
        <charset val="1"/>
      </rPr>
      <t xml:space="preserve">.** H_R = D*/D_sigma </t>
    </r>
    <r>
      <rPr>
        <b val="true"/>
        <sz val="10"/>
        <color rgb="FFB91C1C"/>
        <rFont val="WenQuanYi Zen Hei"/>
        <family val="2"/>
      </rPr>
      <t xml:space="preserve">이고 우리 </t>
    </r>
    <r>
      <rPr>
        <b val="true"/>
        <sz val="10"/>
        <color rgb="FFB91C1C"/>
        <rFont val="Arial"/>
        <family val="0"/>
        <charset val="1"/>
      </rPr>
      <t xml:space="preserve">MD </t>
    </r>
    <r>
      <rPr>
        <b val="true"/>
        <sz val="10"/>
        <color rgb="FFB91C1C"/>
        <rFont val="WenQuanYi Zen Hei"/>
        <family val="2"/>
      </rPr>
      <t xml:space="preserve">는 </t>
    </r>
    <r>
      <rPr>
        <b val="true"/>
        <sz val="10"/>
        <color rgb="FFB91C1C"/>
        <rFont val="Arial"/>
        <family val="0"/>
        <charset val="1"/>
      </rPr>
      <t xml:space="preserve">D*(tracer) </t>
    </r>
    <r>
      <rPr>
        <b val="true"/>
        <sz val="10"/>
        <color rgb="FFB91C1C"/>
        <rFont val="WenQuanYi Zen Hei"/>
        <family val="2"/>
      </rPr>
      <t xml:space="preserve">를</t>
    </r>
  </si>
  <si>
    <r>
      <rPr>
        <b val="true"/>
        <sz val="10"/>
        <color rgb="FFB91C1C"/>
        <rFont val="WenQuanYi Zen Hei"/>
        <family val="2"/>
      </rPr>
      <t xml:space="preserve">   주므로 </t>
    </r>
    <r>
      <rPr>
        <b val="true"/>
        <sz val="10"/>
        <color rgb="FFB91C1C"/>
        <rFont val="Arial"/>
        <family val="0"/>
        <charset val="1"/>
      </rPr>
      <t xml:space="preserve">sigma_NE = H_R x sigma_true </t>
    </r>
    <r>
      <rPr>
        <b val="true"/>
        <sz val="10"/>
        <color rgb="FFB91C1C"/>
        <rFont val="WenQuanYi Zen Hei"/>
        <family val="2"/>
      </rPr>
      <t xml:space="preserve">입니다</t>
    </r>
    <r>
      <rPr>
        <b val="true"/>
        <sz val="10"/>
        <color rgb="FFB91C1C"/>
        <rFont val="Arial"/>
        <family val="0"/>
        <charset val="1"/>
      </rPr>
      <t xml:space="preserve">. H_R&lt;1(</t>
    </r>
    <r>
      <rPr>
        <b val="true"/>
        <sz val="10"/>
        <color rgb="FFB91C1C"/>
        <rFont val="WenQuanYi Zen Hei"/>
        <family val="2"/>
      </rPr>
      <t xml:space="preserve">상관 이동</t>
    </r>
    <r>
      <rPr>
        <b val="true"/>
        <sz val="10"/>
        <color rgb="FFB91C1C"/>
        <rFont val="Arial"/>
        <family val="0"/>
        <charset val="1"/>
      </rPr>
      <t xml:space="preserve">)</t>
    </r>
    <r>
      <rPr>
        <b val="true"/>
        <sz val="10"/>
        <color rgb="FFB91C1C"/>
        <rFont val="WenQuanYi Zen Hei"/>
        <family val="2"/>
      </rPr>
      <t xml:space="preserve">이면 </t>
    </r>
    <r>
      <rPr>
        <b val="true"/>
        <sz val="10"/>
        <color rgb="FFB91C1C"/>
        <rFont val="Arial"/>
        <family val="0"/>
        <charset val="1"/>
      </rPr>
      <t xml:space="preserve">NE </t>
    </r>
    <r>
      <rPr>
        <b val="true"/>
        <sz val="10"/>
        <color rgb="FFB91C1C"/>
        <rFont val="WenQuanYi Zen Hei"/>
        <family val="2"/>
      </rPr>
      <t xml:space="preserve">는 오히려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과소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입니다 —</t>
    </r>
  </si>
  <si>
    <r>
      <rPr>
        <b val="true"/>
        <sz val="10"/>
        <color rgb="FFB91C1C"/>
        <rFont val="Arial"/>
        <family val="0"/>
        <charset val="1"/>
      </rPr>
      <t xml:space="preserve">   Adeli 2019 </t>
    </r>
    <r>
      <rPr>
        <b val="true"/>
        <sz val="10"/>
        <color rgb="FFB91C1C"/>
        <rFont val="WenQuanYi Zen Hei"/>
        <family val="2"/>
      </rPr>
      <t xml:space="preserve">가 </t>
    </r>
    <r>
      <rPr>
        <b val="true"/>
        <sz val="10"/>
        <color rgb="FFB91C1C"/>
        <rFont val="Arial"/>
        <family val="0"/>
        <charset val="1"/>
      </rPr>
      <t xml:space="preserve">Li5.5PS4.5Cl1.5 </t>
    </r>
    <r>
      <rPr>
        <b val="true"/>
        <sz val="10"/>
        <color rgb="FFB91C1C"/>
        <rFont val="WenQuanYi Zen Hei"/>
        <family val="2"/>
      </rPr>
      <t xml:space="preserve">에서 </t>
    </r>
    <r>
      <rPr>
        <b val="true"/>
        <sz val="10"/>
        <color rgb="FFB91C1C"/>
        <rFont val="Arial"/>
        <family val="0"/>
        <charset val="1"/>
      </rPr>
      <t xml:space="preserve">H_R=0.23 </t>
    </r>
    <r>
      <rPr>
        <b val="true"/>
        <sz val="10"/>
        <color rgb="FFB91C1C"/>
        <rFont val="WenQuanYi Zen Hei"/>
        <family val="2"/>
      </rPr>
      <t xml:space="preserve">을 실측했고</t>
    </r>
    <r>
      <rPr>
        <b val="true"/>
        <sz val="10"/>
        <color rgb="FFB91C1C"/>
        <rFont val="Arial"/>
        <family val="0"/>
        <charset val="1"/>
      </rPr>
      <t xml:space="preserve">, </t>
    </r>
    <r>
      <rPr>
        <b val="true"/>
        <sz val="10"/>
        <color rgb="FFB91C1C"/>
        <rFont val="WenQuanYi Zen Hei"/>
        <family val="2"/>
      </rPr>
      <t xml:space="preserve">그러면 </t>
    </r>
    <r>
      <rPr>
        <b val="true"/>
        <sz val="10"/>
        <color rgb="FFB91C1C"/>
        <rFont val="Arial"/>
        <family val="0"/>
        <charset val="1"/>
      </rPr>
      <t xml:space="preserve">sigma_true ~ 4.3</t>
    </r>
    <r>
      <rPr>
        <b val="true"/>
        <sz val="10"/>
        <color rgb="FFB91C1C"/>
        <rFont val="WenQuanYi Zen Hei"/>
        <family val="2"/>
      </rPr>
      <t xml:space="preserve">배입니다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</si>
  <si>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WenQuanYi Zen Hei"/>
        <family val="2"/>
      </rPr>
      <t xml:space="preserve">   반대로 펠릿 </t>
    </r>
    <r>
      <rPr>
        <b val="true"/>
        <sz val="10"/>
        <color rgb="FFB91C1C"/>
        <rFont val="Arial"/>
        <family val="0"/>
        <charset val="1"/>
      </rPr>
      <t xml:space="preserve">EIS </t>
    </r>
    <r>
      <rPr>
        <b val="true"/>
        <sz val="10"/>
        <color rgb="FFB91C1C"/>
        <rFont val="WenQuanYi Zen Hei"/>
        <family val="2"/>
      </rPr>
      <t xml:space="preserve">는 입계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기공 때문에 </t>
    </r>
    <r>
      <rPr>
        <b val="true"/>
        <sz val="10"/>
        <color rgb="FFB91C1C"/>
        <rFont val="Arial"/>
        <family val="0"/>
        <charset val="1"/>
      </rPr>
      <t xml:space="preserve">bulk </t>
    </r>
    <r>
      <rPr>
        <b val="true"/>
        <sz val="10"/>
        <color rgb="FFB91C1C"/>
        <rFont val="WenQuanYi Zen Hei"/>
        <family val="2"/>
      </rPr>
      <t xml:space="preserve">보다 낮게 나옵니다</t>
    </r>
    <r>
      <rPr>
        <b val="true"/>
        <sz val="10"/>
        <color rgb="FFB91C1C"/>
        <rFont val="Arial"/>
        <family val="0"/>
        <charset val="1"/>
      </rPr>
      <t xml:space="preserve">. </t>
    </r>
    <r>
      <rPr>
        <b val="true"/>
        <sz val="10"/>
        <color rgb="FFB91C1C"/>
        <rFont val="WenQuanYi Zen Hei"/>
        <family val="2"/>
      </rPr>
      <t xml:space="preserve">두 보정이 반대 방향이라 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순 방향이 미정</t>
    </r>
    <r>
      <rPr>
        <b val="true"/>
        <sz val="10"/>
        <color rgb="FFB91C1C"/>
        <rFont val="Arial"/>
        <family val="0"/>
        <charset val="1"/>
      </rPr>
      <t xml:space="preserve">**</t>
    </r>
    <r>
      <rPr>
        <b val="true"/>
        <sz val="10"/>
        <color rgb="FFB91C1C"/>
        <rFont val="WenQuanYi Zen Hei"/>
        <family val="2"/>
      </rPr>
      <t xml:space="preserve">입니다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</si>
  <si>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Arial"/>
        <family val="0"/>
        <charset val="1"/>
      </rPr>
      <t xml:space="preserve">3) MD </t>
    </r>
    <r>
      <rPr>
        <b val="true"/>
        <sz val="10"/>
        <color rgb="FFB91C1C"/>
        <rFont val="WenQuanYi Zen Hei"/>
        <family val="2"/>
      </rPr>
      <t xml:space="preserve">는 </t>
    </r>
    <r>
      <rPr>
        <b val="true"/>
        <sz val="10"/>
        <color rgb="FFB91C1C"/>
        <rFont val="Arial"/>
        <family val="0"/>
        <charset val="1"/>
      </rPr>
      <t xml:space="preserve">NVT(</t>
    </r>
    <r>
      <rPr>
        <b val="true"/>
        <sz val="10"/>
        <color rgb="FFB91C1C"/>
        <rFont val="WenQuanYi Zen Hei"/>
        <family val="2"/>
      </rPr>
      <t xml:space="preserve">부피 고정</t>
    </r>
    <r>
      <rPr>
        <b val="true"/>
        <sz val="10"/>
        <color rgb="FFB91C1C"/>
        <rFont val="Arial"/>
        <family val="0"/>
        <charset val="1"/>
      </rPr>
      <t xml:space="preserve">)</t>
    </r>
    <r>
      <rPr>
        <b val="true"/>
        <sz val="10"/>
        <color rgb="FFB91C1C"/>
        <rFont val="WenQuanYi Zen Hei"/>
        <family val="2"/>
      </rPr>
      <t xml:space="preserve">라 열팽창이 없습니다</t>
    </r>
    <r>
      <rPr>
        <b val="true"/>
        <sz val="10"/>
        <color rgb="FFB91C1C"/>
        <rFont val="Arial"/>
        <family val="0"/>
        <charset val="1"/>
      </rPr>
      <t xml:space="preserve">. 300 K </t>
    </r>
    <r>
      <rPr>
        <b val="true"/>
        <sz val="10"/>
        <color rgb="FFB91C1C"/>
        <rFont val="WenQuanYi Zen Hei"/>
        <family val="2"/>
      </rPr>
      <t xml:space="preserve">의 실제 격자는 이 셀과 다릅니다</t>
    </r>
    <r>
      <rPr>
        <b val="true"/>
        <sz val="10"/>
        <color rgb="FFB91C1C"/>
        <rFont val="Arial"/>
        <family val="0"/>
        <charset val="1"/>
      </rPr>
      <t xml:space="preserve">.</t>
    </r>
  </si>
  <si>
    <r>
      <rPr>
        <b val="true"/>
        <sz val="10"/>
        <color rgb="FFB91C1C"/>
        <rFont val="Arial"/>
        <family val="0"/>
        <charset val="1"/>
      </rPr>
      <t xml:space="preserve">4) </t>
    </r>
    <r>
      <rPr>
        <b val="true"/>
        <sz val="10"/>
        <color rgb="FFB91C1C"/>
        <rFont val="WenQuanYi Zen Hei"/>
        <family val="2"/>
      </rPr>
      <t xml:space="preserve">밴드는 </t>
    </r>
    <r>
      <rPr>
        <b val="true"/>
        <sz val="10"/>
        <color rgb="FFB91C1C"/>
        <rFont val="Arial"/>
        <family val="0"/>
        <charset val="1"/>
      </rPr>
      <t xml:space="preserve">Ea </t>
    </r>
    <r>
      <rPr>
        <b val="true"/>
        <sz val="10"/>
        <color rgb="FFB91C1C"/>
        <rFont val="WenQuanYi Zen Hei"/>
        <family val="2"/>
      </rPr>
      <t xml:space="preserve">오차만 반영합니다 — </t>
    </r>
    <r>
      <rPr>
        <b val="true"/>
        <sz val="10"/>
        <color rgb="FFB91C1C"/>
        <rFont val="Arial"/>
        <family val="0"/>
        <charset val="1"/>
      </rPr>
      <t xml:space="preserve">D0 </t>
    </r>
    <r>
      <rPr>
        <b val="true"/>
        <sz val="10"/>
        <color rgb="FFB91C1C"/>
        <rFont val="WenQuanYi Zen Hei"/>
        <family val="2"/>
      </rPr>
      <t xml:space="preserve">불확실도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곡률</t>
    </r>
    <r>
      <rPr>
        <b val="true"/>
        <sz val="10"/>
        <color rgb="FFB91C1C"/>
        <rFont val="Arial"/>
        <family val="0"/>
        <charset val="1"/>
      </rPr>
      <t xml:space="preserve">·</t>
    </r>
    <r>
      <rPr>
        <b val="true"/>
        <sz val="10"/>
        <color rgb="FFB91C1C"/>
        <rFont val="WenQuanYi Zen Hei"/>
        <family val="2"/>
      </rPr>
      <t xml:space="preserve">프로토콜 편향은 안 들어가 있습니다 </t>
    </r>
    <r>
      <rPr>
        <b val="true"/>
        <sz val="10"/>
        <color rgb="FFB91C1C"/>
        <rFont val="Arial"/>
        <family val="0"/>
        <charset val="1"/>
      </rPr>
      <t xml:space="preserve">(</t>
    </r>
    <r>
      <rPr>
        <b val="true"/>
        <sz val="10"/>
        <color rgb="FFB91C1C"/>
        <rFont val="WenQuanYi Zen Hei"/>
        <family val="2"/>
      </rPr>
      <t xml:space="preserve">즉 실제는 더 넓습니다</t>
    </r>
    <r>
      <rPr>
        <b val="true"/>
        <sz val="10"/>
        <color rgb="FFB91C1C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</si>
  <si>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물리상수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파란 글씨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고정 입력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검정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</si>
  <si>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e  [C]</t>
  </si>
  <si>
    <t xml:space="preserve">k_B  [J/K]</t>
  </si>
  <si>
    <t xml:space="preserve">k_B  [eV/K]</t>
  </si>
  <si>
    <t xml:space="preserve">T_RT [K]</t>
  </si>
  <si>
    <t xml:space="preserve">Ea_ledger_eV</t>
  </si>
  <si>
    <r>
      <rPr>
        <b val="true"/>
        <sz val="10"/>
        <color rgb="FFFFFFFF"/>
        <rFont val="Arial"/>
        <family val="0"/>
        <charset val="1"/>
      </rPr>
      <t xml:space="preserve">Ea_fit_eV
(</t>
    </r>
    <r>
      <rPr>
        <b val="true"/>
        <sz val="10"/>
        <color rgb="FFFFFFFF"/>
        <rFont val="WenQuanYi Zen Hei"/>
        <family val="2"/>
      </rPr>
      <t xml:space="preserve">이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점 적합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</si>
  <si>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lnD0</t>
  </si>
  <si>
    <t xml:space="preserve">D0_cm2_s</t>
  </si>
  <si>
    <t xml:space="preserve">R2</t>
  </si>
  <si>
    <r>
      <rPr>
        <i val="true"/>
        <sz val="9"/>
        <rFont val="Arial"/>
        <family val="0"/>
        <charset val="1"/>
      </rPr>
      <t xml:space="preserve">⚠ Ea_ledger </t>
    </r>
    <r>
      <rPr>
        <i val="true"/>
        <sz val="9"/>
        <rFont val="WenQuanYi Zen Hei"/>
        <family val="2"/>
      </rPr>
      <t xml:space="preserve">와 </t>
    </r>
    <r>
      <rPr>
        <i val="true"/>
        <sz val="9"/>
        <rFont val="Arial"/>
        <family val="0"/>
        <charset val="1"/>
      </rPr>
      <t xml:space="preserve">Ea_fit </t>
    </r>
    <r>
      <rPr>
        <i val="true"/>
        <sz val="9"/>
        <rFont val="WenQuanYi Zen Hei"/>
        <family val="2"/>
      </rPr>
      <t xml:space="preserve">이 최대 </t>
    </r>
    <r>
      <rPr>
        <i val="true"/>
        <sz val="9"/>
        <rFont val="Arial"/>
        <family val="0"/>
        <charset val="1"/>
      </rPr>
      <t xml:space="preserve">2.2 meV </t>
    </r>
    <r>
      <rPr>
        <i val="true"/>
        <sz val="9"/>
        <rFont val="WenQuanYi Zen Hei"/>
        <family val="2"/>
      </rPr>
      <t xml:space="preserve">다릅니다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원장값은 시드별 적합의 평균이고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여기 적합은 시드평균 </t>
    </r>
    <r>
      <rPr>
        <i val="true"/>
        <sz val="9"/>
        <rFont val="Arial"/>
        <family val="0"/>
        <charset val="1"/>
      </rPr>
      <t xml:space="preserve">D 3</t>
    </r>
    <r>
      <rPr>
        <i val="true"/>
        <sz val="9"/>
        <rFont val="WenQuanYi Zen Hei"/>
        <family val="2"/>
      </rPr>
      <t xml:space="preserve">점의 최소제곱선입니다</t>
    </r>
    <r>
      <rPr>
        <i val="true"/>
        <sz val="9"/>
        <rFont val="Arial"/>
        <family val="0"/>
        <charset val="1"/>
      </rPr>
      <t xml:space="preserve">(Jensen). </t>
    </r>
    <r>
      <rPr>
        <i val="true"/>
        <sz val="9"/>
        <rFont val="WenQuanYi Zen Hei"/>
        <family val="2"/>
      </rPr>
      <t xml:space="preserve">그림의 선은 </t>
    </r>
    <r>
      <rPr>
        <i val="true"/>
        <sz val="9"/>
        <rFont val="Arial"/>
        <family val="0"/>
        <charset val="1"/>
      </rPr>
      <t xml:space="preserve">Ea_fit </t>
    </r>
    <r>
      <rPr>
        <i val="true"/>
        <sz val="9"/>
        <rFont val="WenQuanYi Zen Hei"/>
        <family val="2"/>
      </rPr>
      <t xml:space="preserve">쪽입니다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</si>
  <si>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Arial"/>
        <family val="0"/>
        <charset val="1"/>
      </rPr>
      <t xml:space="preserve">⚠ Ea_err </t>
    </r>
    <r>
      <rPr>
        <i val="true"/>
        <sz val="9"/>
        <rFont val="WenQuanYi Zen Hei"/>
        <family val="2"/>
      </rPr>
      <t xml:space="preserve">는 </t>
    </r>
    <r>
      <rPr>
        <i val="true"/>
        <sz val="9"/>
        <rFont val="Arial"/>
        <family val="0"/>
        <charset val="1"/>
      </rPr>
      <t xml:space="preserve">600 K </t>
    </r>
    <r>
      <rPr>
        <i val="true"/>
        <sz val="9"/>
        <rFont val="WenQuanYi Zen Hei"/>
        <family val="2"/>
      </rPr>
      <t xml:space="preserve">멀티시드 산포입니다 — 평균의 신뢰구간이 아니라 </t>
    </r>
    <r>
      <rPr>
        <i val="true"/>
        <sz val="9"/>
        <rFont val="Arial"/>
        <family val="0"/>
        <charset val="1"/>
      </rPr>
      <t xml:space="preserve">run-to-run </t>
    </r>
    <r>
      <rPr>
        <i val="true"/>
        <sz val="9"/>
        <rFont val="WenQuanYi Zen Hei"/>
        <family val="2"/>
      </rPr>
      <t xml:space="preserve">변동입니다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</si>
</sst>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000E+00"/>
    <numFmt numFmtId="167" formatCode="0.0000"/>
    <numFmt numFmtId="168" formatCode="0.000E+00"/>
    <numFmt numFmtId="169" formatCode="0.0"/>
    <numFmt numFmtId="170" formatCode="0.000"/>
    <numFmt numFmtId="171" formatCode="0.00"/>
    <numFmt numFmtId="172" formatCode="0.0\배"/>
    <numFmt numFmtId="173" formatCode="0.0000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WenQuanYi Zen Hei"/>
      <family val="2"/>
    </font>
    <font>
      <sz val="10"/>
      <name val="WenQuanYi Zen Hei"/>
      <family val="2"/>
    </font>
    <font>
      <b val="true"/>
      <sz val="11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0"/>
      <color rgb="FFB91C1C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i val="true"/>
      <sz val="9"/>
      <name val="Arial"/>
      <family val="0"/>
      <charset val="1"/>
    </font>
    <font>
      <i val="true"/>
      <sz val="9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4.15" hidden="false" customHeight="false" outlineLevel="0" collapsed="false">
      <c r="A4" s="2" t="s">
        <v>2</v>
      </c>
    </row>
    <row r="5" customFormat="false" ht="14.15" hidden="false" customHeight="false" outlineLevel="0" collapsed="false">
      <c r="A5" s="2" t="s">
        <v>3</v>
      </c>
    </row>
    <row r="6" customFormat="false" ht="14.15" hidden="false" customHeight="false" outlineLevel="0" collapsed="false">
      <c r="A6" s="2" t="s">
        <v>4</v>
      </c>
    </row>
    <row r="7" customFormat="false" ht="14.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4.9" hidden="false" customHeight="false" outlineLevel="0" collapsed="false">
      <c r="A9" s="4" t="s">
        <v>6</v>
      </c>
    </row>
    <row r="10" customFormat="false" ht="14.15" hidden="false" customHeight="false" outlineLevel="0" collapsed="false">
      <c r="A10" s="5" t="s">
        <v>7</v>
      </c>
    </row>
    <row r="11" customFormat="false" ht="14.15" hidden="false" customHeight="false" outlineLevel="0" collapsed="false">
      <c r="A11" s="5" t="s">
        <v>8</v>
      </c>
    </row>
    <row r="12" customFormat="false" ht="14.15" hidden="false" customHeight="false" outlineLevel="0" collapsed="false">
      <c r="A12" s="6" t="s">
        <v>9</v>
      </c>
    </row>
    <row r="13" customFormat="false" ht="14.15" hidden="false" customHeight="false" outlineLevel="0" collapsed="false">
      <c r="A13" s="2" t="s">
        <v>10</v>
      </c>
    </row>
    <row r="14" customFormat="false" ht="14.15" hidden="false" customHeight="false" outlineLevel="0" collapsed="false">
      <c r="A14" s="2" t="s">
        <v>11</v>
      </c>
    </row>
    <row r="15" customFormat="false" ht="14.15" hidden="false" customHeight="false" outlineLevel="0" collapsed="false">
      <c r="A15" s="5" t="s">
        <v>12</v>
      </c>
    </row>
    <row r="16" customFormat="false" ht="14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4" t="s">
        <v>14</v>
      </c>
    </row>
    <row r="19" customFormat="false" ht="14.15" hidden="false" customHeight="false" outlineLevel="0" collapsed="false">
      <c r="A19" s="6" t="s">
        <v>15</v>
      </c>
    </row>
    <row r="20" customFormat="false" ht="14.15" hidden="false" customHeight="false" outlineLevel="0" collapsed="false">
      <c r="A20" s="5" t="s">
        <v>16</v>
      </c>
    </row>
    <row r="21" customFormat="false" ht="14.15" hidden="false" customHeight="false" outlineLevel="0" collapsed="false">
      <c r="A21" s="5" t="s">
        <v>17</v>
      </c>
    </row>
    <row r="22" customFormat="false" ht="14.15" hidden="false" customHeight="false" outlineLevel="0" collapsed="false">
      <c r="A22" s="5" t="s">
        <v>18</v>
      </c>
    </row>
    <row r="23" customFormat="false" ht="14.15" hidden="false" customHeight="false" outlineLevel="0" collapsed="false">
      <c r="A23" s="7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6" t="s">
        <v>21</v>
      </c>
    </row>
    <row r="27" customFormat="false" ht="14.15" hidden="false" customHeight="false" outlineLevel="0" collapsed="false">
      <c r="A27" s="7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4.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14.15" hidden="false" customHeight="false" outlineLevel="0" collapsed="false">
      <c r="A34" s="6" t="s">
        <v>27</v>
      </c>
    </row>
    <row r="35" customFormat="false" ht="14.15" hidden="false" customHeight="false" outlineLevel="0" collapsed="false">
      <c r="A35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</row>
    <row r="2" customFormat="false" ht="15" hidden="false" customHeight="false" outlineLevel="0" collapsed="false">
      <c r="A2" s="9" t="s">
        <v>37</v>
      </c>
      <c r="B2" s="10" t="n">
        <v>600</v>
      </c>
      <c r="C2" s="11" t="n">
        <f aca="false">1000/B2</f>
        <v>1.66666666666667</v>
      </c>
      <c r="D2" s="12" t="n">
        <v>1.037E-005</v>
      </c>
      <c r="E2" s="13" t="n">
        <f aca="false">LN(D2)</f>
        <v>-11.4765935357228</v>
      </c>
      <c r="F2" s="14" t="n">
        <v>2.22E+022</v>
      </c>
      <c r="G2" s="15" t="n">
        <f aca="false">1000*F2*Params!$B$2^2*D2/(Params!$B$3*B2)</f>
        <v>713.375163752723</v>
      </c>
      <c r="H2" s="9" t="s">
        <v>38</v>
      </c>
    </row>
    <row r="3" customFormat="false" ht="15" hidden="false" customHeight="false" outlineLevel="0" collapsed="false">
      <c r="A3" s="9" t="s">
        <v>37</v>
      </c>
      <c r="B3" s="10" t="n">
        <v>800</v>
      </c>
      <c r="C3" s="11" t="n">
        <f aca="false">1000/B3</f>
        <v>1.25</v>
      </c>
      <c r="D3" s="12" t="n">
        <v>2.845E-005</v>
      </c>
      <c r="E3" s="13" t="n">
        <f aca="false">LN(D3)</f>
        <v>-10.4673623973919</v>
      </c>
      <c r="F3" s="14" t="n">
        <v>2.22E+022</v>
      </c>
      <c r="G3" s="15" t="n">
        <f aca="false">1000*F3*Params!$B$2^2*D3/(Params!$B$3*B3)</f>
        <v>1467.8536698721</v>
      </c>
      <c r="H3" s="9" t="s">
        <v>38</v>
      </c>
    </row>
    <row r="4" customFormat="false" ht="15" hidden="false" customHeight="false" outlineLevel="0" collapsed="false">
      <c r="A4" s="9" t="s">
        <v>37</v>
      </c>
      <c r="B4" s="10" t="n">
        <v>1000</v>
      </c>
      <c r="C4" s="11" t="n">
        <f aca="false">1000/B4</f>
        <v>1</v>
      </c>
      <c r="D4" s="12" t="n">
        <v>4.728E-005</v>
      </c>
      <c r="E4" s="13" t="n">
        <f aca="false">LN(D4)</f>
        <v>-9.95942318486643</v>
      </c>
      <c r="F4" s="14" t="n">
        <v>2.22E+022</v>
      </c>
      <c r="G4" s="15" t="n">
        <f aca="false">1000*F4*Params!$B$2^2*D4/(Params!$B$3*B4)</f>
        <v>1951.49726570272</v>
      </c>
      <c r="H4" s="9" t="s">
        <v>38</v>
      </c>
    </row>
    <row r="5" customFormat="false" ht="15" hidden="false" customHeight="false" outlineLevel="0" collapsed="false">
      <c r="A5" s="9" t="s">
        <v>39</v>
      </c>
      <c r="B5" s="10" t="n">
        <v>600</v>
      </c>
      <c r="C5" s="11" t="n">
        <f aca="false">1000/B5</f>
        <v>1.66666666666667</v>
      </c>
      <c r="D5" s="12" t="n">
        <v>6.2705E-006</v>
      </c>
      <c r="E5" s="13" t="n">
        <f aca="false">LN(D5)</f>
        <v>-11.9796544616823</v>
      </c>
      <c r="F5" s="14" t="n">
        <v>2.242E+022</v>
      </c>
      <c r="G5" s="15" t="n">
        <f aca="false">1000*F5*Params!$B$2^2*D5/(Params!$B$3*B5)</f>
        <v>435.636273987953</v>
      </c>
      <c r="H5" s="9" t="s">
        <v>38</v>
      </c>
    </row>
    <row r="6" customFormat="false" ht="15" hidden="false" customHeight="false" outlineLevel="0" collapsed="false">
      <c r="A6" s="9" t="s">
        <v>39</v>
      </c>
      <c r="B6" s="10" t="n">
        <v>800</v>
      </c>
      <c r="C6" s="11" t="n">
        <f aca="false">1000/B6</f>
        <v>1.25</v>
      </c>
      <c r="D6" s="12" t="n">
        <v>2.4162E-005</v>
      </c>
      <c r="E6" s="13" t="n">
        <f aca="false">LN(D6)</f>
        <v>-10.6307294068669</v>
      </c>
      <c r="F6" s="14" t="n">
        <v>2.242E+022</v>
      </c>
      <c r="G6" s="15" t="n">
        <f aca="false">1000*F6*Params!$B$2^2*D6/(Params!$B$3*B6)</f>
        <v>1258.97181071249</v>
      </c>
      <c r="H6" s="9" t="s">
        <v>38</v>
      </c>
    </row>
    <row r="7" customFormat="false" ht="15" hidden="false" customHeight="false" outlineLevel="0" collapsed="false">
      <c r="A7" s="9" t="s">
        <v>39</v>
      </c>
      <c r="B7" s="10" t="n">
        <v>1000</v>
      </c>
      <c r="C7" s="11" t="n">
        <f aca="false">1000/B7</f>
        <v>1</v>
      </c>
      <c r="D7" s="12" t="n">
        <v>5.7093E-005</v>
      </c>
      <c r="E7" s="13" t="n">
        <f aca="false">LN(D7)</f>
        <v>-9.77082904076127</v>
      </c>
      <c r="F7" s="14" t="n">
        <v>2.242E+022</v>
      </c>
      <c r="G7" s="15" t="n">
        <f aca="false">1000*F7*Params!$B$2^2*D7/(Params!$B$3*B7)</f>
        <v>2379.88502902106</v>
      </c>
      <c r="H7" s="9" t="s">
        <v>38</v>
      </c>
    </row>
    <row r="8" customFormat="false" ht="15" hidden="false" customHeight="false" outlineLevel="0" collapsed="false">
      <c r="A8" s="9" t="s">
        <v>40</v>
      </c>
      <c r="B8" s="10" t="n">
        <v>600</v>
      </c>
      <c r="C8" s="11" t="n">
        <f aca="false">1000/B8</f>
        <v>1.66666666666667</v>
      </c>
      <c r="D8" s="12" t="n">
        <v>1.041E-005</v>
      </c>
      <c r="E8" s="13" t="n">
        <f aca="false">LN(D8)</f>
        <v>-11.4727436753374</v>
      </c>
      <c r="F8" s="14" t="n">
        <v>2.381E+022</v>
      </c>
      <c r="G8" s="15" t="n">
        <f aca="false">1000*F8*Params!$B$2^2*D8/(Params!$B$3*B8)</f>
        <v>768.06217769377</v>
      </c>
      <c r="H8" s="16" t="s">
        <v>41</v>
      </c>
    </row>
    <row r="9" customFormat="false" ht="15" hidden="false" customHeight="false" outlineLevel="0" collapsed="false">
      <c r="A9" s="9" t="s">
        <v>40</v>
      </c>
      <c r="B9" s="10" t="n">
        <v>800</v>
      </c>
      <c r="C9" s="11" t="n">
        <f aca="false">1000/B9</f>
        <v>1.25</v>
      </c>
      <c r="D9" s="12" t="n">
        <v>2.163E-005</v>
      </c>
      <c r="E9" s="13" t="n">
        <f aca="false">LN(D9)</f>
        <v>-10.7414293179993</v>
      </c>
      <c r="F9" s="14" t="n">
        <v>2.381E+022</v>
      </c>
      <c r="G9" s="15" t="n">
        <f aca="false">1000*F9*Params!$B$2^2*D9/(Params!$B$3*B9)</f>
        <v>1196.91533887005</v>
      </c>
      <c r="H9" s="16" t="s">
        <v>41</v>
      </c>
    </row>
    <row r="10" customFormat="false" ht="15" hidden="false" customHeight="false" outlineLevel="0" collapsed="false">
      <c r="A10" s="9" t="s">
        <v>40</v>
      </c>
      <c r="B10" s="10" t="n">
        <v>1000</v>
      </c>
      <c r="C10" s="11" t="n">
        <f aca="false">1000/B10</f>
        <v>1</v>
      </c>
      <c r="D10" s="12" t="n">
        <v>5.081E-005</v>
      </c>
      <c r="E10" s="13" t="n">
        <f aca="false">LN(D10)</f>
        <v>-9.88741737235863</v>
      </c>
      <c r="F10" s="14" t="n">
        <v>2.381E+022</v>
      </c>
      <c r="G10" s="15" t="n">
        <f aca="false">1000*F10*Params!$B$2^2*D10/(Params!$B$3*B10)</f>
        <v>2249.29332845075</v>
      </c>
      <c r="H10" s="16" t="s">
        <v>41</v>
      </c>
    </row>
    <row r="12" customFormat="false" ht="15" hidden="false" customHeight="false" outlineLevel="0" collapsed="false">
      <c r="A12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8" t="s">
        <v>31</v>
      </c>
      <c r="B1" s="8" t="s">
        <v>30</v>
      </c>
      <c r="C1" s="8" t="s">
        <v>43</v>
      </c>
      <c r="D1" s="8" t="s">
        <v>44</v>
      </c>
      <c r="E1" s="8" t="s">
        <v>45</v>
      </c>
      <c r="F1" s="17" t="s">
        <v>46</v>
      </c>
    </row>
    <row r="2" customFormat="false" ht="15" hidden="false" customHeight="false" outlineLevel="0" collapsed="false">
      <c r="A2" s="10" t="n">
        <v>0.95</v>
      </c>
      <c r="B2" s="15" t="n">
        <f aca="false">1000/A2</f>
        <v>1052.63157894737</v>
      </c>
      <c r="C2" s="13" t="n">
        <f aca="false">Params!$E$8-(Params!$D$8/Params!$B$4)*(A2/1000)</f>
        <v>-9.8199932104943</v>
      </c>
      <c r="D2" s="13" t="n">
        <f aca="false">Params!$E$9-(Params!$D$9/Params!$B$4)*(A2/1000)</f>
        <v>-9.61844754046141</v>
      </c>
      <c r="E2" s="13" t="n">
        <f aca="false">Params!$E$10-(Params!$D$10/Params!$B$4)*(A2/1000)</f>
        <v>-9.87762491236754</v>
      </c>
      <c r="F2" s="18" t="s">
        <v>47</v>
      </c>
    </row>
    <row r="3" customFormat="false" ht="15" hidden="false" customHeight="false" outlineLevel="0" collapsed="false">
      <c r="A3" s="10" t="n">
        <v>0.96</v>
      </c>
      <c r="B3" s="15" t="n">
        <f aca="false">1000/A3</f>
        <v>1041.66666666667</v>
      </c>
      <c r="C3" s="13" t="n">
        <f aca="false">Params!$E$8-(Params!$D$8/Params!$B$4)*(A3/1000)</f>
        <v>-9.84290018113108</v>
      </c>
      <c r="D3" s="13" t="n">
        <f aca="false">Params!$E$9-(Params!$D$9/Params!$B$4)*(A3/1000)</f>
        <v>-9.65150254615047</v>
      </c>
      <c r="E3" s="13" t="n">
        <f aca="false">Params!$E$10-(Params!$D$10/Params!$B$4)*(A3/1000)</f>
        <v>-9.90076931144509</v>
      </c>
      <c r="F3" s="18" t="s">
        <v>47</v>
      </c>
    </row>
    <row r="4" customFormat="false" ht="15" hidden="false" customHeight="false" outlineLevel="0" collapsed="false">
      <c r="A4" s="10" t="n">
        <v>0.97</v>
      </c>
      <c r="B4" s="15" t="n">
        <f aca="false">1000/A4</f>
        <v>1030.92783505155</v>
      </c>
      <c r="C4" s="13" t="n">
        <f aca="false">Params!$E$8-(Params!$D$8/Params!$B$4)*(A4/1000)</f>
        <v>-9.86580715176787</v>
      </c>
      <c r="D4" s="13" t="n">
        <f aca="false">Params!$E$9-(Params!$D$9/Params!$B$4)*(A4/1000)</f>
        <v>-9.68455755183954</v>
      </c>
      <c r="E4" s="13" t="n">
        <f aca="false">Params!$E$10-(Params!$D$10/Params!$B$4)*(A4/1000)</f>
        <v>-9.92391371052265</v>
      </c>
      <c r="F4" s="18" t="s">
        <v>47</v>
      </c>
    </row>
    <row r="5" customFormat="false" ht="15" hidden="false" customHeight="false" outlineLevel="0" collapsed="false">
      <c r="A5" s="10" t="n">
        <v>0.98</v>
      </c>
      <c r="B5" s="15" t="n">
        <f aca="false">1000/A5</f>
        <v>1020.40816326531</v>
      </c>
      <c r="C5" s="13" t="n">
        <f aca="false">Params!$E$8-(Params!$D$8/Params!$B$4)*(A5/1000)</f>
        <v>-9.88871412240465</v>
      </c>
      <c r="D5" s="13" t="n">
        <f aca="false">Params!$E$9-(Params!$D$9/Params!$B$4)*(A5/1000)</f>
        <v>-9.71761255752861</v>
      </c>
      <c r="E5" s="13" t="n">
        <f aca="false">Params!$E$10-(Params!$D$10/Params!$B$4)*(A5/1000)</f>
        <v>-9.9470581096002</v>
      </c>
      <c r="F5" s="18" t="s">
        <v>47</v>
      </c>
    </row>
    <row r="6" customFormat="false" ht="15" hidden="false" customHeight="false" outlineLevel="0" collapsed="false">
      <c r="A6" s="10" t="n">
        <v>0.99</v>
      </c>
      <c r="B6" s="15" t="n">
        <f aca="false">1000/A6</f>
        <v>1010.10101010101</v>
      </c>
      <c r="C6" s="13" t="n">
        <f aca="false">Params!$E$8-(Params!$D$8/Params!$B$4)*(A6/1000)</f>
        <v>-9.91162109304143</v>
      </c>
      <c r="D6" s="13" t="n">
        <f aca="false">Params!$E$9-(Params!$D$9/Params!$B$4)*(A6/1000)</f>
        <v>-9.75066756321768</v>
      </c>
      <c r="E6" s="13" t="n">
        <f aca="false">Params!$E$10-(Params!$D$10/Params!$B$4)*(A6/1000)</f>
        <v>-9.97020250867775</v>
      </c>
      <c r="F6" s="18" t="s">
        <v>47</v>
      </c>
    </row>
    <row r="7" customFormat="false" ht="15" hidden="false" customHeight="false" outlineLevel="0" collapsed="false">
      <c r="A7" s="10" t="n">
        <v>1</v>
      </c>
      <c r="B7" s="15" t="n">
        <f aca="false">1000/A7</f>
        <v>1000</v>
      </c>
      <c r="C7" s="13" t="n">
        <f aca="false">Params!$E$8-(Params!$D$8/Params!$B$4)*(A7/1000)</f>
        <v>-9.93452806367821</v>
      </c>
      <c r="D7" s="13" t="n">
        <f aca="false">Params!$E$9-(Params!$D$9/Params!$B$4)*(A7/1000)</f>
        <v>-9.78372256890674</v>
      </c>
      <c r="E7" s="13" t="n">
        <f aca="false">Params!$E$10-(Params!$D$10/Params!$B$4)*(A7/1000)</f>
        <v>-9.99334690775531</v>
      </c>
      <c r="F7" s="18" t="s">
        <v>47</v>
      </c>
    </row>
    <row r="8" customFormat="false" ht="15" hidden="false" customHeight="false" outlineLevel="0" collapsed="false">
      <c r="A8" s="10" t="n">
        <v>1.01</v>
      </c>
      <c r="B8" s="15" t="n">
        <f aca="false">1000/A8</f>
        <v>990.09900990099</v>
      </c>
      <c r="C8" s="13" t="n">
        <f aca="false">Params!$E$8-(Params!$D$8/Params!$B$4)*(A8/1000)</f>
        <v>-9.95743503431499</v>
      </c>
      <c r="D8" s="13" t="n">
        <f aca="false">Params!$E$9-(Params!$D$9/Params!$B$4)*(A8/1000)</f>
        <v>-9.81677757459581</v>
      </c>
      <c r="E8" s="13" t="n">
        <f aca="false">Params!$E$10-(Params!$D$10/Params!$B$4)*(A8/1000)</f>
        <v>-10.0164913068329</v>
      </c>
      <c r="F8" s="18" t="s">
        <v>47</v>
      </c>
    </row>
    <row r="9" customFormat="false" ht="15" hidden="false" customHeight="false" outlineLevel="0" collapsed="false">
      <c r="A9" s="10" t="n">
        <v>1.02</v>
      </c>
      <c r="B9" s="15" t="n">
        <f aca="false">1000/A9</f>
        <v>980.392156862745</v>
      </c>
      <c r="C9" s="13" t="n">
        <f aca="false">Params!$E$8-(Params!$D$8/Params!$B$4)*(A9/1000)</f>
        <v>-9.98034200495178</v>
      </c>
      <c r="D9" s="13" t="n">
        <f aca="false">Params!$E$9-(Params!$D$9/Params!$B$4)*(A9/1000)</f>
        <v>-9.84983258028488</v>
      </c>
      <c r="E9" s="13" t="n">
        <f aca="false">Params!$E$10-(Params!$D$10/Params!$B$4)*(A9/1000)</f>
        <v>-10.0396357059104</v>
      </c>
      <c r="F9" s="18" t="s">
        <v>47</v>
      </c>
    </row>
    <row r="10" customFormat="false" ht="15" hidden="false" customHeight="false" outlineLevel="0" collapsed="false">
      <c r="A10" s="10" t="n">
        <v>1.03</v>
      </c>
      <c r="B10" s="15" t="n">
        <f aca="false">1000/A10</f>
        <v>970.873786407767</v>
      </c>
      <c r="C10" s="13" t="n">
        <f aca="false">Params!$E$8-(Params!$D$8/Params!$B$4)*(A10/1000)</f>
        <v>-10.0032489755886</v>
      </c>
      <c r="D10" s="13" t="n">
        <f aca="false">Params!$E$9-(Params!$D$9/Params!$B$4)*(A10/1000)</f>
        <v>-9.88288758597395</v>
      </c>
      <c r="E10" s="13" t="n">
        <f aca="false">Params!$E$10-(Params!$D$10/Params!$B$4)*(A10/1000)</f>
        <v>-10.062780104988</v>
      </c>
      <c r="F10" s="18" t="s">
        <v>47</v>
      </c>
    </row>
    <row r="11" customFormat="false" ht="15" hidden="false" customHeight="false" outlineLevel="0" collapsed="false">
      <c r="A11" s="10" t="n">
        <v>1.04</v>
      </c>
      <c r="B11" s="15" t="n">
        <f aca="false">1000/A11</f>
        <v>961.538461538462</v>
      </c>
      <c r="C11" s="13" t="n">
        <f aca="false">Params!$E$8-(Params!$D$8/Params!$B$4)*(A11/1000)</f>
        <v>-10.0261559462253</v>
      </c>
      <c r="D11" s="13" t="n">
        <f aca="false">Params!$E$9-(Params!$D$9/Params!$B$4)*(A11/1000)</f>
        <v>-9.91594259166301</v>
      </c>
      <c r="E11" s="13" t="n">
        <f aca="false">Params!$E$10-(Params!$D$10/Params!$B$4)*(A11/1000)</f>
        <v>-10.0859245040655</v>
      </c>
      <c r="F11" s="18" t="s">
        <v>47</v>
      </c>
    </row>
    <row r="12" customFormat="false" ht="15" hidden="false" customHeight="false" outlineLevel="0" collapsed="false">
      <c r="A12" s="10" t="n">
        <v>1.05</v>
      </c>
      <c r="B12" s="15" t="n">
        <f aca="false">1000/A12</f>
        <v>952.380952380952</v>
      </c>
      <c r="C12" s="13" t="n">
        <f aca="false">Params!$E$8-(Params!$D$8/Params!$B$4)*(A12/1000)</f>
        <v>-10.0490629168621</v>
      </c>
      <c r="D12" s="13" t="n">
        <f aca="false">Params!$E$9-(Params!$D$9/Params!$B$4)*(A12/1000)</f>
        <v>-9.94899759735208</v>
      </c>
      <c r="E12" s="13" t="n">
        <f aca="false">Params!$E$10-(Params!$D$10/Params!$B$4)*(A12/1000)</f>
        <v>-10.1090689031431</v>
      </c>
      <c r="F12" s="18" t="s">
        <v>47</v>
      </c>
    </row>
    <row r="13" customFormat="false" ht="15" hidden="false" customHeight="false" outlineLevel="0" collapsed="false">
      <c r="A13" s="10" t="n">
        <v>1.06</v>
      </c>
      <c r="B13" s="15" t="n">
        <f aca="false">1000/A13</f>
        <v>943.396226415094</v>
      </c>
      <c r="C13" s="13" t="n">
        <f aca="false">Params!$E$8-(Params!$D$8/Params!$B$4)*(A13/1000)</f>
        <v>-10.0719698874989</v>
      </c>
      <c r="D13" s="13" t="n">
        <f aca="false">Params!$E$9-(Params!$D$9/Params!$B$4)*(A13/1000)</f>
        <v>-9.98205260304115</v>
      </c>
      <c r="E13" s="13" t="n">
        <f aca="false">Params!$E$10-(Params!$D$10/Params!$B$4)*(A13/1000)</f>
        <v>-10.1322133022206</v>
      </c>
      <c r="F13" s="18" t="s">
        <v>47</v>
      </c>
    </row>
    <row r="14" customFormat="false" ht="15" hidden="false" customHeight="false" outlineLevel="0" collapsed="false">
      <c r="A14" s="10" t="n">
        <v>1.07</v>
      </c>
      <c r="B14" s="15" t="n">
        <f aca="false">1000/A14</f>
        <v>934.579439252336</v>
      </c>
      <c r="C14" s="13" t="n">
        <f aca="false">Params!$E$8-(Params!$D$8/Params!$B$4)*(A14/1000)</f>
        <v>-10.0948768581357</v>
      </c>
      <c r="D14" s="13" t="n">
        <f aca="false">Params!$E$9-(Params!$D$9/Params!$B$4)*(A14/1000)</f>
        <v>-10.0151076087302</v>
      </c>
      <c r="E14" s="13" t="n">
        <f aca="false">Params!$E$10-(Params!$D$10/Params!$B$4)*(A14/1000)</f>
        <v>-10.1553577012982</v>
      </c>
      <c r="F14" s="18" t="s">
        <v>47</v>
      </c>
    </row>
    <row r="15" customFormat="false" ht="15" hidden="false" customHeight="false" outlineLevel="0" collapsed="false">
      <c r="A15" s="10" t="n">
        <v>1.08</v>
      </c>
      <c r="B15" s="15" t="n">
        <f aca="false">1000/A15</f>
        <v>925.925925925926</v>
      </c>
      <c r="C15" s="13" t="n">
        <f aca="false">Params!$E$8-(Params!$D$8/Params!$B$4)*(A15/1000)</f>
        <v>-10.1177838287725</v>
      </c>
      <c r="D15" s="13" t="n">
        <f aca="false">Params!$E$9-(Params!$D$9/Params!$B$4)*(A15/1000)</f>
        <v>-10.0481626144193</v>
      </c>
      <c r="E15" s="13" t="n">
        <f aca="false">Params!$E$10-(Params!$D$10/Params!$B$4)*(A15/1000)</f>
        <v>-10.1785021003757</v>
      </c>
      <c r="F15" s="18" t="s">
        <v>47</v>
      </c>
    </row>
    <row r="16" customFormat="false" ht="15" hidden="false" customHeight="false" outlineLevel="0" collapsed="false">
      <c r="A16" s="10" t="n">
        <v>1.09</v>
      </c>
      <c r="B16" s="15" t="n">
        <f aca="false">1000/A16</f>
        <v>917.43119266055</v>
      </c>
      <c r="C16" s="13" t="n">
        <f aca="false">Params!$E$8-(Params!$D$8/Params!$B$4)*(A16/1000)</f>
        <v>-10.1406907994093</v>
      </c>
      <c r="D16" s="13" t="n">
        <f aca="false">Params!$E$9-(Params!$D$9/Params!$B$4)*(A16/1000)</f>
        <v>-10.0812176201084</v>
      </c>
      <c r="E16" s="13" t="n">
        <f aca="false">Params!$E$10-(Params!$D$10/Params!$B$4)*(A16/1000)</f>
        <v>-10.2016464994533</v>
      </c>
      <c r="F16" s="18" t="s">
        <v>47</v>
      </c>
    </row>
    <row r="17" customFormat="false" ht="15" hidden="false" customHeight="false" outlineLevel="0" collapsed="false">
      <c r="A17" s="10" t="n">
        <v>1.1</v>
      </c>
      <c r="B17" s="15" t="n">
        <f aca="false">1000/A17</f>
        <v>909.090909090909</v>
      </c>
      <c r="C17" s="13" t="n">
        <f aca="false">Params!$E$8-(Params!$D$8/Params!$B$4)*(A17/1000)</f>
        <v>-10.163597770046</v>
      </c>
      <c r="D17" s="13" t="n">
        <f aca="false">Params!$E$9-(Params!$D$9/Params!$B$4)*(A17/1000)</f>
        <v>-10.1142726257974</v>
      </c>
      <c r="E17" s="13" t="n">
        <f aca="false">Params!$E$10-(Params!$D$10/Params!$B$4)*(A17/1000)</f>
        <v>-10.2247908985308</v>
      </c>
      <c r="F17" s="18" t="s">
        <v>47</v>
      </c>
    </row>
    <row r="18" customFormat="false" ht="15" hidden="false" customHeight="false" outlineLevel="0" collapsed="false">
      <c r="A18" s="10" t="n">
        <v>1.11</v>
      </c>
      <c r="B18" s="15" t="n">
        <f aca="false">1000/A18</f>
        <v>900.900900900901</v>
      </c>
      <c r="C18" s="13" t="n">
        <f aca="false">Params!$E$8-(Params!$D$8/Params!$B$4)*(A18/1000)</f>
        <v>-10.1865047406828</v>
      </c>
      <c r="D18" s="13" t="n">
        <f aca="false">Params!$E$9-(Params!$D$9/Params!$B$4)*(A18/1000)</f>
        <v>-10.1473276314865</v>
      </c>
      <c r="E18" s="13" t="n">
        <f aca="false">Params!$E$10-(Params!$D$10/Params!$B$4)*(A18/1000)</f>
        <v>-10.2479352976084</v>
      </c>
      <c r="F18" s="18" t="s">
        <v>47</v>
      </c>
    </row>
    <row r="19" customFormat="false" ht="15" hidden="false" customHeight="false" outlineLevel="0" collapsed="false">
      <c r="A19" s="10" t="n">
        <v>1.12</v>
      </c>
      <c r="B19" s="15" t="n">
        <f aca="false">1000/A19</f>
        <v>892.857142857143</v>
      </c>
      <c r="C19" s="13" t="n">
        <f aca="false">Params!$E$8-(Params!$D$8/Params!$B$4)*(A19/1000)</f>
        <v>-10.2094117113196</v>
      </c>
      <c r="D19" s="13" t="n">
        <f aca="false">Params!$E$9-(Params!$D$9/Params!$B$4)*(A19/1000)</f>
        <v>-10.1803826371756</v>
      </c>
      <c r="E19" s="13" t="n">
        <f aca="false">Params!$E$10-(Params!$D$10/Params!$B$4)*(A19/1000)</f>
        <v>-10.2710796966859</v>
      </c>
      <c r="F19" s="18" t="s">
        <v>47</v>
      </c>
    </row>
    <row r="20" customFormat="false" ht="15" hidden="false" customHeight="false" outlineLevel="0" collapsed="false">
      <c r="A20" s="10" t="n">
        <v>1.13</v>
      </c>
      <c r="B20" s="15" t="n">
        <f aca="false">1000/A20</f>
        <v>884.95575221239</v>
      </c>
      <c r="C20" s="13" t="n">
        <f aca="false">Params!$E$8-(Params!$D$8/Params!$B$4)*(A20/1000)</f>
        <v>-10.2323186819564</v>
      </c>
      <c r="D20" s="13" t="n">
        <f aca="false">Params!$E$9-(Params!$D$9/Params!$B$4)*(A20/1000)</f>
        <v>-10.2134376428646</v>
      </c>
      <c r="E20" s="13" t="n">
        <f aca="false">Params!$E$10-(Params!$D$10/Params!$B$4)*(A20/1000)</f>
        <v>-10.2942240957635</v>
      </c>
      <c r="F20" s="18" t="s">
        <v>47</v>
      </c>
    </row>
    <row r="21" customFormat="false" ht="15" hidden="false" customHeight="false" outlineLevel="0" collapsed="false">
      <c r="A21" s="10" t="n">
        <v>1.14</v>
      </c>
      <c r="B21" s="15" t="n">
        <f aca="false">1000/A21</f>
        <v>877.19298245614</v>
      </c>
      <c r="C21" s="13" t="n">
        <f aca="false">Params!$E$8-(Params!$D$8/Params!$B$4)*(A21/1000)</f>
        <v>-10.2552256525932</v>
      </c>
      <c r="D21" s="13" t="n">
        <f aca="false">Params!$E$9-(Params!$D$9/Params!$B$4)*(A21/1000)</f>
        <v>-10.2464926485537</v>
      </c>
      <c r="E21" s="13" t="n">
        <f aca="false">Params!$E$10-(Params!$D$10/Params!$B$4)*(A21/1000)</f>
        <v>-10.317368494841</v>
      </c>
      <c r="F21" s="18" t="s">
        <v>47</v>
      </c>
    </row>
    <row r="22" customFormat="false" ht="15" hidden="false" customHeight="false" outlineLevel="0" collapsed="false">
      <c r="A22" s="10" t="n">
        <v>1.15</v>
      </c>
      <c r="B22" s="15" t="n">
        <f aca="false">1000/A22</f>
        <v>869.565217391304</v>
      </c>
      <c r="C22" s="13" t="n">
        <f aca="false">Params!$E$8-(Params!$D$8/Params!$B$4)*(A22/1000)</f>
        <v>-10.2781326232299</v>
      </c>
      <c r="D22" s="13" t="n">
        <f aca="false">Params!$E$9-(Params!$D$9/Params!$B$4)*(A22/1000)</f>
        <v>-10.2795476542428</v>
      </c>
      <c r="E22" s="13" t="n">
        <f aca="false">Params!$E$10-(Params!$D$10/Params!$B$4)*(A22/1000)</f>
        <v>-10.3405128939186</v>
      </c>
      <c r="F22" s="18" t="s">
        <v>47</v>
      </c>
    </row>
    <row r="23" customFormat="false" ht="15" hidden="false" customHeight="false" outlineLevel="0" collapsed="false">
      <c r="A23" s="10" t="n">
        <v>1.16</v>
      </c>
      <c r="B23" s="15" t="n">
        <f aca="false">1000/A23</f>
        <v>862.068965517241</v>
      </c>
      <c r="C23" s="13" t="n">
        <f aca="false">Params!$E$8-(Params!$D$8/Params!$B$4)*(A23/1000)</f>
        <v>-10.3010395938667</v>
      </c>
      <c r="D23" s="13" t="n">
        <f aca="false">Params!$E$9-(Params!$D$9/Params!$B$4)*(A23/1000)</f>
        <v>-10.3126026599318</v>
      </c>
      <c r="E23" s="13" t="n">
        <f aca="false">Params!$E$10-(Params!$D$10/Params!$B$4)*(A23/1000)</f>
        <v>-10.3636572929962</v>
      </c>
      <c r="F23" s="18" t="s">
        <v>47</v>
      </c>
    </row>
    <row r="24" customFormat="false" ht="15" hidden="false" customHeight="false" outlineLevel="0" collapsed="false">
      <c r="A24" s="10" t="n">
        <v>1.17</v>
      </c>
      <c r="B24" s="15" t="n">
        <f aca="false">1000/A24</f>
        <v>854.700854700855</v>
      </c>
      <c r="C24" s="13" t="n">
        <f aca="false">Params!$E$8-(Params!$D$8/Params!$B$4)*(A24/1000)</f>
        <v>-10.3239465645035</v>
      </c>
      <c r="D24" s="13" t="n">
        <f aca="false">Params!$E$9-(Params!$D$9/Params!$B$4)*(A24/1000)</f>
        <v>-10.3456576656209</v>
      </c>
      <c r="E24" s="13" t="n">
        <f aca="false">Params!$E$10-(Params!$D$10/Params!$B$4)*(A24/1000)</f>
        <v>-10.3868016920737</v>
      </c>
      <c r="F24" s="18" t="s">
        <v>47</v>
      </c>
    </row>
    <row r="25" customFormat="false" ht="15" hidden="false" customHeight="false" outlineLevel="0" collapsed="false">
      <c r="A25" s="10" t="n">
        <v>1.18</v>
      </c>
      <c r="B25" s="15" t="n">
        <f aca="false">1000/A25</f>
        <v>847.457627118644</v>
      </c>
      <c r="C25" s="13" t="n">
        <f aca="false">Params!$E$8-(Params!$D$8/Params!$B$4)*(A25/1000)</f>
        <v>-10.3468535351403</v>
      </c>
      <c r="D25" s="13" t="n">
        <f aca="false">Params!$E$9-(Params!$D$9/Params!$B$4)*(A25/1000)</f>
        <v>-10.37871267131</v>
      </c>
      <c r="E25" s="13" t="n">
        <f aca="false">Params!$E$10-(Params!$D$10/Params!$B$4)*(A25/1000)</f>
        <v>-10.4099460911513</v>
      </c>
      <c r="F25" s="18" t="s">
        <v>47</v>
      </c>
    </row>
    <row r="26" customFormat="false" ht="15" hidden="false" customHeight="false" outlineLevel="0" collapsed="false">
      <c r="A26" s="10" t="n">
        <v>1.19</v>
      </c>
      <c r="B26" s="15" t="n">
        <f aca="false">1000/A26</f>
        <v>840.336134453782</v>
      </c>
      <c r="C26" s="13" t="n">
        <f aca="false">Params!$E$8-(Params!$D$8/Params!$B$4)*(A26/1000)</f>
        <v>-10.3697605057771</v>
      </c>
      <c r="D26" s="13" t="n">
        <f aca="false">Params!$E$9-(Params!$D$9/Params!$B$4)*(A26/1000)</f>
        <v>-10.411767676999</v>
      </c>
      <c r="E26" s="13" t="n">
        <f aca="false">Params!$E$10-(Params!$D$10/Params!$B$4)*(A26/1000)</f>
        <v>-10.4330904902288</v>
      </c>
      <c r="F26" s="18" t="s">
        <v>47</v>
      </c>
    </row>
    <row r="27" customFormat="false" ht="15" hidden="false" customHeight="false" outlineLevel="0" collapsed="false">
      <c r="A27" s="10" t="n">
        <v>1.2</v>
      </c>
      <c r="B27" s="15" t="n">
        <f aca="false">1000/A27</f>
        <v>833.333333333333</v>
      </c>
      <c r="C27" s="13" t="n">
        <f aca="false">Params!$E$8-(Params!$D$8/Params!$B$4)*(A27/1000)</f>
        <v>-10.3926674764139</v>
      </c>
      <c r="D27" s="13" t="n">
        <f aca="false">Params!$E$9-(Params!$D$9/Params!$B$4)*(A27/1000)</f>
        <v>-10.4448226826881</v>
      </c>
      <c r="E27" s="13" t="n">
        <f aca="false">Params!$E$10-(Params!$D$10/Params!$B$4)*(A27/1000)</f>
        <v>-10.4562348893064</v>
      </c>
      <c r="F27" s="18" t="s">
        <v>47</v>
      </c>
    </row>
    <row r="28" customFormat="false" ht="15" hidden="false" customHeight="false" outlineLevel="0" collapsed="false">
      <c r="A28" s="10" t="n">
        <v>1.21</v>
      </c>
      <c r="B28" s="15" t="n">
        <f aca="false">1000/A28</f>
        <v>826.446280991736</v>
      </c>
      <c r="C28" s="13" t="n">
        <f aca="false">Params!$E$8-(Params!$D$8/Params!$B$4)*(A28/1000)</f>
        <v>-10.4155744470506</v>
      </c>
      <c r="D28" s="13" t="n">
        <f aca="false">Params!$E$9-(Params!$D$9/Params!$B$4)*(A28/1000)</f>
        <v>-10.4778776883772</v>
      </c>
      <c r="E28" s="13" t="n">
        <f aca="false">Params!$E$10-(Params!$D$10/Params!$B$4)*(A28/1000)</f>
        <v>-10.4793792883839</v>
      </c>
      <c r="F28" s="18" t="s">
        <v>47</v>
      </c>
    </row>
    <row r="29" customFormat="false" ht="15" hidden="false" customHeight="false" outlineLevel="0" collapsed="false">
      <c r="A29" s="10" t="n">
        <v>1.22</v>
      </c>
      <c r="B29" s="15" t="n">
        <f aca="false">1000/A29</f>
        <v>819.672131147541</v>
      </c>
      <c r="C29" s="13" t="n">
        <f aca="false">Params!$E$8-(Params!$D$8/Params!$B$4)*(A29/1000)</f>
        <v>-10.4384814176874</v>
      </c>
      <c r="D29" s="13" t="n">
        <f aca="false">Params!$E$9-(Params!$D$9/Params!$B$4)*(A29/1000)</f>
        <v>-10.5109326940662</v>
      </c>
      <c r="E29" s="13" t="n">
        <f aca="false">Params!$E$10-(Params!$D$10/Params!$B$4)*(A29/1000)</f>
        <v>-10.5025236874615</v>
      </c>
      <c r="F29" s="18" t="s">
        <v>47</v>
      </c>
    </row>
    <row r="30" customFormat="false" ht="15" hidden="false" customHeight="false" outlineLevel="0" collapsed="false">
      <c r="A30" s="10" t="n">
        <v>1.23</v>
      </c>
      <c r="B30" s="15" t="n">
        <f aca="false">1000/A30</f>
        <v>813.008130081301</v>
      </c>
      <c r="C30" s="13" t="n">
        <f aca="false">Params!$E$8-(Params!$D$8/Params!$B$4)*(A30/1000)</f>
        <v>-10.4613883883242</v>
      </c>
      <c r="D30" s="13" t="n">
        <f aca="false">Params!$E$9-(Params!$D$9/Params!$B$4)*(A30/1000)</f>
        <v>-10.5439876997553</v>
      </c>
      <c r="E30" s="13" t="n">
        <f aca="false">Params!$E$10-(Params!$D$10/Params!$B$4)*(A30/1000)</f>
        <v>-10.525668086539</v>
      </c>
      <c r="F30" s="18" t="s">
        <v>47</v>
      </c>
    </row>
    <row r="31" customFormat="false" ht="15" hidden="false" customHeight="false" outlineLevel="0" collapsed="false">
      <c r="A31" s="10" t="n">
        <v>1.24</v>
      </c>
      <c r="B31" s="15" t="n">
        <f aca="false">1000/A31</f>
        <v>806.451612903226</v>
      </c>
      <c r="C31" s="13" t="n">
        <f aca="false">Params!$E$8-(Params!$D$8/Params!$B$4)*(A31/1000)</f>
        <v>-10.484295358961</v>
      </c>
      <c r="D31" s="13" t="n">
        <f aca="false">Params!$E$9-(Params!$D$9/Params!$B$4)*(A31/1000)</f>
        <v>-10.5770427054444</v>
      </c>
      <c r="E31" s="13" t="n">
        <f aca="false">Params!$E$10-(Params!$D$10/Params!$B$4)*(A31/1000)</f>
        <v>-10.5488124856166</v>
      </c>
      <c r="F31" s="18" t="s">
        <v>47</v>
      </c>
    </row>
    <row r="32" customFormat="false" ht="15" hidden="false" customHeight="false" outlineLevel="0" collapsed="false">
      <c r="A32" s="10" t="n">
        <v>1.25</v>
      </c>
      <c r="B32" s="15" t="n">
        <f aca="false">1000/A32</f>
        <v>800</v>
      </c>
      <c r="C32" s="13" t="n">
        <f aca="false">Params!$E$8-(Params!$D$8/Params!$B$4)*(A32/1000)</f>
        <v>-10.5072023295978</v>
      </c>
      <c r="D32" s="13" t="n">
        <f aca="false">Params!$E$9-(Params!$D$9/Params!$B$4)*(A32/1000)</f>
        <v>-10.6100977111334</v>
      </c>
      <c r="E32" s="13" t="n">
        <f aca="false">Params!$E$10-(Params!$D$10/Params!$B$4)*(A32/1000)</f>
        <v>-10.5719568846941</v>
      </c>
      <c r="F32" s="18" t="s">
        <v>47</v>
      </c>
    </row>
    <row r="33" customFormat="false" ht="15" hidden="false" customHeight="false" outlineLevel="0" collapsed="false">
      <c r="A33" s="10" t="n">
        <v>1.26</v>
      </c>
      <c r="B33" s="15" t="n">
        <f aca="false">1000/A33</f>
        <v>793.650793650794</v>
      </c>
      <c r="C33" s="13" t="n">
        <f aca="false">Params!$E$8-(Params!$D$8/Params!$B$4)*(A33/1000)</f>
        <v>-10.5301093002345</v>
      </c>
      <c r="D33" s="13" t="n">
        <f aca="false">Params!$E$9-(Params!$D$9/Params!$B$4)*(A33/1000)</f>
        <v>-10.6431527168225</v>
      </c>
      <c r="E33" s="13" t="n">
        <f aca="false">Params!$E$10-(Params!$D$10/Params!$B$4)*(A33/1000)</f>
        <v>-10.5951012837717</v>
      </c>
      <c r="F33" s="18" t="s">
        <v>47</v>
      </c>
    </row>
    <row r="34" customFormat="false" ht="15" hidden="false" customHeight="false" outlineLevel="0" collapsed="false">
      <c r="A34" s="10" t="n">
        <v>1.27</v>
      </c>
      <c r="B34" s="15" t="n">
        <f aca="false">1000/A34</f>
        <v>787.40157480315</v>
      </c>
      <c r="C34" s="13" t="n">
        <f aca="false">Params!$E$8-(Params!$D$8/Params!$B$4)*(A34/1000)</f>
        <v>-10.5530162708713</v>
      </c>
      <c r="D34" s="13" t="n">
        <f aca="false">Params!$E$9-(Params!$D$9/Params!$B$4)*(A34/1000)</f>
        <v>-10.6762077225116</v>
      </c>
      <c r="E34" s="13" t="n">
        <f aca="false">Params!$E$10-(Params!$D$10/Params!$B$4)*(A34/1000)</f>
        <v>-10.6182456828492</v>
      </c>
      <c r="F34" s="18" t="s">
        <v>47</v>
      </c>
    </row>
    <row r="35" customFormat="false" ht="15" hidden="false" customHeight="false" outlineLevel="0" collapsed="false">
      <c r="A35" s="10" t="n">
        <v>1.28</v>
      </c>
      <c r="B35" s="15" t="n">
        <f aca="false">1000/A35</f>
        <v>781.25</v>
      </c>
      <c r="C35" s="13" t="n">
        <f aca="false">Params!$E$8-(Params!$D$8/Params!$B$4)*(A35/1000)</f>
        <v>-10.5759232415081</v>
      </c>
      <c r="D35" s="13" t="n">
        <f aca="false">Params!$E$9-(Params!$D$9/Params!$B$4)*(A35/1000)</f>
        <v>-10.7092627282006</v>
      </c>
      <c r="E35" s="13" t="n">
        <f aca="false">Params!$E$10-(Params!$D$10/Params!$B$4)*(A35/1000)</f>
        <v>-10.6413900819268</v>
      </c>
      <c r="F35" s="18" t="s">
        <v>47</v>
      </c>
    </row>
    <row r="36" customFormat="false" ht="15" hidden="false" customHeight="false" outlineLevel="0" collapsed="false">
      <c r="A36" s="10" t="n">
        <v>1.29</v>
      </c>
      <c r="B36" s="15" t="n">
        <f aca="false">1000/A36</f>
        <v>775.193798449612</v>
      </c>
      <c r="C36" s="13" t="n">
        <f aca="false">Params!$E$8-(Params!$D$8/Params!$B$4)*(A36/1000)</f>
        <v>-10.5988302121449</v>
      </c>
      <c r="D36" s="13" t="n">
        <f aca="false">Params!$E$9-(Params!$D$9/Params!$B$4)*(A36/1000)</f>
        <v>-10.7423177338897</v>
      </c>
      <c r="E36" s="13" t="n">
        <f aca="false">Params!$E$10-(Params!$D$10/Params!$B$4)*(A36/1000)</f>
        <v>-10.6645344810043</v>
      </c>
      <c r="F36" s="18" t="s">
        <v>47</v>
      </c>
    </row>
    <row r="37" customFormat="false" ht="15" hidden="false" customHeight="false" outlineLevel="0" collapsed="false">
      <c r="A37" s="10" t="n">
        <v>1.3</v>
      </c>
      <c r="B37" s="15" t="n">
        <f aca="false">1000/A37</f>
        <v>769.230769230769</v>
      </c>
      <c r="C37" s="13" t="n">
        <f aca="false">Params!$E$8-(Params!$D$8/Params!$B$4)*(A37/1000)</f>
        <v>-10.6217371827817</v>
      </c>
      <c r="D37" s="13" t="n">
        <f aca="false">Params!$E$9-(Params!$D$9/Params!$B$4)*(A37/1000)</f>
        <v>-10.7753727395788</v>
      </c>
      <c r="E37" s="13" t="n">
        <f aca="false">Params!$E$10-(Params!$D$10/Params!$B$4)*(A37/1000)</f>
        <v>-10.6876788800819</v>
      </c>
      <c r="F37" s="18" t="s">
        <v>47</v>
      </c>
    </row>
    <row r="38" customFormat="false" ht="15" hidden="false" customHeight="false" outlineLevel="0" collapsed="false">
      <c r="A38" s="10" t="n">
        <v>1.31</v>
      </c>
      <c r="B38" s="15" t="n">
        <f aca="false">1000/A38</f>
        <v>763.358778625954</v>
      </c>
      <c r="C38" s="13" t="n">
        <f aca="false">Params!$E$8-(Params!$D$8/Params!$B$4)*(A38/1000)</f>
        <v>-10.6446441534185</v>
      </c>
      <c r="D38" s="13" t="n">
        <f aca="false">Params!$E$9-(Params!$D$9/Params!$B$4)*(A38/1000)</f>
        <v>-10.8084277452678</v>
      </c>
      <c r="E38" s="13" t="n">
        <f aca="false">Params!$E$10-(Params!$D$10/Params!$B$4)*(A38/1000)</f>
        <v>-10.7108232791594</v>
      </c>
      <c r="F38" s="18" t="s">
        <v>47</v>
      </c>
    </row>
    <row r="39" customFormat="false" ht="15" hidden="false" customHeight="false" outlineLevel="0" collapsed="false">
      <c r="A39" s="10" t="n">
        <v>1.32</v>
      </c>
      <c r="B39" s="15" t="n">
        <f aca="false">1000/A39</f>
        <v>757.575757575758</v>
      </c>
      <c r="C39" s="13" t="n">
        <f aca="false">Params!$E$8-(Params!$D$8/Params!$B$4)*(A39/1000)</f>
        <v>-10.6675511240552</v>
      </c>
      <c r="D39" s="13" t="n">
        <f aca="false">Params!$E$9-(Params!$D$9/Params!$B$4)*(A39/1000)</f>
        <v>-10.8414827509569</v>
      </c>
      <c r="E39" s="13" t="n">
        <f aca="false">Params!$E$10-(Params!$D$10/Params!$B$4)*(A39/1000)</f>
        <v>-10.733967678237</v>
      </c>
      <c r="F39" s="18" t="s">
        <v>47</v>
      </c>
    </row>
    <row r="40" customFormat="false" ht="15" hidden="false" customHeight="false" outlineLevel="0" collapsed="false">
      <c r="A40" s="10" t="n">
        <v>1.33</v>
      </c>
      <c r="B40" s="15" t="n">
        <f aca="false">1000/A40</f>
        <v>751.87969924812</v>
      </c>
      <c r="C40" s="13" t="n">
        <f aca="false">Params!$E$8-(Params!$D$8/Params!$B$4)*(A40/1000)</f>
        <v>-10.690458094692</v>
      </c>
      <c r="D40" s="13" t="n">
        <f aca="false">Params!$E$9-(Params!$D$9/Params!$B$4)*(A40/1000)</f>
        <v>-10.874537756646</v>
      </c>
      <c r="E40" s="13" t="n">
        <f aca="false">Params!$E$10-(Params!$D$10/Params!$B$4)*(A40/1000)</f>
        <v>-10.7571120773146</v>
      </c>
      <c r="F40" s="18" t="s">
        <v>47</v>
      </c>
    </row>
    <row r="41" customFormat="false" ht="15" hidden="false" customHeight="false" outlineLevel="0" collapsed="false">
      <c r="A41" s="10" t="n">
        <v>1.34</v>
      </c>
      <c r="B41" s="15" t="n">
        <f aca="false">1000/A41</f>
        <v>746.268656716418</v>
      </c>
      <c r="C41" s="13" t="n">
        <f aca="false">Params!$E$8-(Params!$D$8/Params!$B$4)*(A41/1000)</f>
        <v>-10.7133650653288</v>
      </c>
      <c r="D41" s="13" t="n">
        <f aca="false">Params!$E$9-(Params!$D$9/Params!$B$4)*(A41/1000)</f>
        <v>-10.907592762335</v>
      </c>
      <c r="E41" s="13" t="n">
        <f aca="false">Params!$E$10-(Params!$D$10/Params!$B$4)*(A41/1000)</f>
        <v>-10.7802564763921</v>
      </c>
      <c r="F41" s="18" t="s">
        <v>47</v>
      </c>
    </row>
    <row r="42" customFormat="false" ht="15" hidden="false" customHeight="false" outlineLevel="0" collapsed="false">
      <c r="A42" s="10" t="n">
        <v>1.35</v>
      </c>
      <c r="B42" s="15" t="n">
        <f aca="false">1000/A42</f>
        <v>740.740740740741</v>
      </c>
      <c r="C42" s="13" t="n">
        <f aca="false">Params!$E$8-(Params!$D$8/Params!$B$4)*(A42/1000)</f>
        <v>-10.7362720359656</v>
      </c>
      <c r="D42" s="13" t="n">
        <f aca="false">Params!$E$9-(Params!$D$9/Params!$B$4)*(A42/1000)</f>
        <v>-10.9406477680241</v>
      </c>
      <c r="E42" s="13" t="n">
        <f aca="false">Params!$E$10-(Params!$D$10/Params!$B$4)*(A42/1000)</f>
        <v>-10.8034008754697</v>
      </c>
      <c r="F42" s="18" t="s">
        <v>47</v>
      </c>
    </row>
    <row r="43" customFormat="false" ht="15" hidden="false" customHeight="false" outlineLevel="0" collapsed="false">
      <c r="A43" s="10" t="n">
        <v>1.36</v>
      </c>
      <c r="B43" s="15" t="n">
        <f aca="false">1000/A43</f>
        <v>735.294117647059</v>
      </c>
      <c r="C43" s="13" t="n">
        <f aca="false">Params!$E$8-(Params!$D$8/Params!$B$4)*(A43/1000)</f>
        <v>-10.7591790066024</v>
      </c>
      <c r="D43" s="13" t="n">
        <f aca="false">Params!$E$9-(Params!$D$9/Params!$B$4)*(A43/1000)</f>
        <v>-10.9737027737132</v>
      </c>
      <c r="E43" s="13" t="n">
        <f aca="false">Params!$E$10-(Params!$D$10/Params!$B$4)*(A43/1000)</f>
        <v>-10.8265452745472</v>
      </c>
      <c r="F43" s="18" t="s">
        <v>47</v>
      </c>
    </row>
    <row r="44" customFormat="false" ht="15" hidden="false" customHeight="false" outlineLevel="0" collapsed="false">
      <c r="A44" s="10" t="n">
        <v>1.37</v>
      </c>
      <c r="B44" s="15" t="n">
        <f aca="false">1000/A44</f>
        <v>729.92700729927</v>
      </c>
      <c r="C44" s="13" t="n">
        <f aca="false">Params!$E$8-(Params!$D$8/Params!$B$4)*(A44/1000)</f>
        <v>-10.7820859772392</v>
      </c>
      <c r="D44" s="13" t="n">
        <f aca="false">Params!$E$9-(Params!$D$9/Params!$B$4)*(A44/1000)</f>
        <v>-11.0067577794022</v>
      </c>
      <c r="E44" s="13" t="n">
        <f aca="false">Params!$E$10-(Params!$D$10/Params!$B$4)*(A44/1000)</f>
        <v>-10.8496896736248</v>
      </c>
      <c r="F44" s="18" t="s">
        <v>47</v>
      </c>
    </row>
    <row r="45" customFormat="false" ht="15" hidden="false" customHeight="false" outlineLevel="0" collapsed="false">
      <c r="A45" s="10" t="n">
        <v>1.38</v>
      </c>
      <c r="B45" s="15" t="n">
        <f aca="false">1000/A45</f>
        <v>724.63768115942</v>
      </c>
      <c r="C45" s="13" t="n">
        <f aca="false">Params!$E$8-(Params!$D$8/Params!$B$4)*(A45/1000)</f>
        <v>-10.8049929478759</v>
      </c>
      <c r="D45" s="13" t="n">
        <f aca="false">Params!$E$9-(Params!$D$9/Params!$B$4)*(A45/1000)</f>
        <v>-11.0398127850913</v>
      </c>
      <c r="E45" s="13" t="n">
        <f aca="false">Params!$E$10-(Params!$D$10/Params!$B$4)*(A45/1000)</f>
        <v>-10.8728340727023</v>
      </c>
      <c r="F45" s="18" t="s">
        <v>47</v>
      </c>
    </row>
    <row r="46" customFormat="false" ht="15" hidden="false" customHeight="false" outlineLevel="0" collapsed="false">
      <c r="A46" s="10" t="n">
        <v>1.39</v>
      </c>
      <c r="B46" s="15" t="n">
        <f aca="false">1000/A46</f>
        <v>719.424460431655</v>
      </c>
      <c r="C46" s="13" t="n">
        <f aca="false">Params!$E$8-(Params!$D$8/Params!$B$4)*(A46/1000)</f>
        <v>-10.8278999185127</v>
      </c>
      <c r="D46" s="13" t="n">
        <f aca="false">Params!$E$9-(Params!$D$9/Params!$B$4)*(A46/1000)</f>
        <v>-11.0728677907804</v>
      </c>
      <c r="E46" s="13" t="n">
        <f aca="false">Params!$E$10-(Params!$D$10/Params!$B$4)*(A46/1000)</f>
        <v>-10.8959784717799</v>
      </c>
      <c r="F46" s="18" t="s">
        <v>47</v>
      </c>
    </row>
    <row r="47" customFormat="false" ht="15" hidden="false" customHeight="false" outlineLevel="0" collapsed="false">
      <c r="A47" s="10" t="n">
        <v>1.4</v>
      </c>
      <c r="B47" s="15" t="n">
        <f aca="false">1000/A47</f>
        <v>714.285714285714</v>
      </c>
      <c r="C47" s="13" t="n">
        <f aca="false">Params!$E$8-(Params!$D$8/Params!$B$4)*(A47/1000)</f>
        <v>-10.8508068891495</v>
      </c>
      <c r="D47" s="13" t="n">
        <f aca="false">Params!$E$9-(Params!$D$9/Params!$B$4)*(A47/1000)</f>
        <v>-11.1059227964694</v>
      </c>
      <c r="E47" s="13" t="n">
        <f aca="false">Params!$E$10-(Params!$D$10/Params!$B$4)*(A47/1000)</f>
        <v>-10.9191228708574</v>
      </c>
      <c r="F47" s="18" t="s">
        <v>47</v>
      </c>
    </row>
    <row r="48" customFormat="false" ht="15" hidden="false" customHeight="false" outlineLevel="0" collapsed="false">
      <c r="A48" s="10" t="n">
        <v>1.41</v>
      </c>
      <c r="B48" s="15" t="n">
        <f aca="false">1000/A48</f>
        <v>709.219858156028</v>
      </c>
      <c r="C48" s="13" t="n">
        <f aca="false">Params!$E$8-(Params!$D$8/Params!$B$4)*(A48/1000)</f>
        <v>-10.8737138597863</v>
      </c>
      <c r="D48" s="13" t="n">
        <f aca="false">Params!$E$9-(Params!$D$9/Params!$B$4)*(A48/1000)</f>
        <v>-11.1389778021585</v>
      </c>
      <c r="E48" s="13" t="n">
        <f aca="false">Params!$E$10-(Params!$D$10/Params!$B$4)*(A48/1000)</f>
        <v>-10.942267269935</v>
      </c>
      <c r="F48" s="18" t="s">
        <v>47</v>
      </c>
    </row>
    <row r="49" customFormat="false" ht="15" hidden="false" customHeight="false" outlineLevel="0" collapsed="false">
      <c r="A49" s="10" t="n">
        <v>1.42</v>
      </c>
      <c r="B49" s="15" t="n">
        <f aca="false">1000/A49</f>
        <v>704.225352112676</v>
      </c>
      <c r="C49" s="13" t="n">
        <f aca="false">Params!$E$8-(Params!$D$8/Params!$B$4)*(A49/1000)</f>
        <v>-10.8966208304231</v>
      </c>
      <c r="D49" s="13" t="n">
        <f aca="false">Params!$E$9-(Params!$D$9/Params!$B$4)*(A49/1000)</f>
        <v>-11.1720328078476</v>
      </c>
      <c r="E49" s="13" t="n">
        <f aca="false">Params!$E$10-(Params!$D$10/Params!$B$4)*(A49/1000)</f>
        <v>-10.9654116690125</v>
      </c>
      <c r="F49" s="18" t="s">
        <v>47</v>
      </c>
    </row>
    <row r="50" customFormat="false" ht="15" hidden="false" customHeight="false" outlineLevel="0" collapsed="false">
      <c r="A50" s="10" t="n">
        <v>1.43</v>
      </c>
      <c r="B50" s="15" t="n">
        <f aca="false">1000/A50</f>
        <v>699.300699300699</v>
      </c>
      <c r="C50" s="13" t="n">
        <f aca="false">Params!$E$8-(Params!$D$8/Params!$B$4)*(A50/1000)</f>
        <v>-10.9195278010598</v>
      </c>
      <c r="D50" s="13" t="n">
        <f aca="false">Params!$E$9-(Params!$D$9/Params!$B$4)*(A50/1000)</f>
        <v>-11.2050878135366</v>
      </c>
      <c r="E50" s="13" t="n">
        <f aca="false">Params!$E$10-(Params!$D$10/Params!$B$4)*(A50/1000)</f>
        <v>-10.9885560680901</v>
      </c>
      <c r="F50" s="18" t="s">
        <v>47</v>
      </c>
    </row>
    <row r="51" customFormat="false" ht="15" hidden="false" customHeight="false" outlineLevel="0" collapsed="false">
      <c r="A51" s="10" t="n">
        <v>1.44</v>
      </c>
      <c r="B51" s="15" t="n">
        <f aca="false">1000/A51</f>
        <v>694.444444444445</v>
      </c>
      <c r="C51" s="13" t="n">
        <f aca="false">Params!$E$8-(Params!$D$8/Params!$B$4)*(A51/1000)</f>
        <v>-10.9424347716966</v>
      </c>
      <c r="D51" s="13" t="n">
        <f aca="false">Params!$E$9-(Params!$D$9/Params!$B$4)*(A51/1000)</f>
        <v>-11.2381428192257</v>
      </c>
      <c r="E51" s="13" t="n">
        <f aca="false">Params!$E$10-(Params!$D$10/Params!$B$4)*(A51/1000)</f>
        <v>-11.0117004671676</v>
      </c>
      <c r="F51" s="18" t="s">
        <v>47</v>
      </c>
    </row>
    <row r="52" customFormat="false" ht="15" hidden="false" customHeight="false" outlineLevel="0" collapsed="false">
      <c r="A52" s="10" t="n">
        <v>1.45</v>
      </c>
      <c r="B52" s="15" t="n">
        <f aca="false">1000/A52</f>
        <v>689.655172413793</v>
      </c>
      <c r="C52" s="13" t="n">
        <f aca="false">Params!$E$8-(Params!$D$8/Params!$B$4)*(A52/1000)</f>
        <v>-10.9653417423334</v>
      </c>
      <c r="D52" s="13" t="n">
        <f aca="false">Params!$E$9-(Params!$D$9/Params!$B$4)*(A52/1000)</f>
        <v>-11.2711978249148</v>
      </c>
      <c r="E52" s="13" t="n">
        <f aca="false">Params!$E$10-(Params!$D$10/Params!$B$4)*(A52/1000)</f>
        <v>-11.0348448662452</v>
      </c>
      <c r="F52" s="18" t="s">
        <v>47</v>
      </c>
    </row>
    <row r="53" customFormat="false" ht="15" hidden="false" customHeight="false" outlineLevel="0" collapsed="false">
      <c r="A53" s="10" t="n">
        <v>1.46</v>
      </c>
      <c r="B53" s="15" t="n">
        <f aca="false">1000/A53</f>
        <v>684.931506849315</v>
      </c>
      <c r="C53" s="13" t="n">
        <f aca="false">Params!$E$8-(Params!$D$8/Params!$B$4)*(A53/1000)</f>
        <v>-10.9882487129702</v>
      </c>
      <c r="D53" s="13" t="n">
        <f aca="false">Params!$E$9-(Params!$D$9/Params!$B$4)*(A53/1000)</f>
        <v>-11.3042528306038</v>
      </c>
      <c r="E53" s="13" t="n">
        <f aca="false">Params!$E$10-(Params!$D$10/Params!$B$4)*(A53/1000)</f>
        <v>-11.0579892653227</v>
      </c>
      <c r="F53" s="18" t="s">
        <v>47</v>
      </c>
    </row>
    <row r="54" customFormat="false" ht="15" hidden="false" customHeight="false" outlineLevel="0" collapsed="false">
      <c r="A54" s="10" t="n">
        <v>1.47</v>
      </c>
      <c r="B54" s="15" t="n">
        <f aca="false">1000/A54</f>
        <v>680.272108843538</v>
      </c>
      <c r="C54" s="13" t="n">
        <f aca="false">Params!$E$8-(Params!$D$8/Params!$B$4)*(A54/1000)</f>
        <v>-11.011155683607</v>
      </c>
      <c r="D54" s="13" t="n">
        <f aca="false">Params!$E$9-(Params!$D$9/Params!$B$4)*(A54/1000)</f>
        <v>-11.3373078362929</v>
      </c>
      <c r="E54" s="13" t="n">
        <f aca="false">Params!$E$10-(Params!$D$10/Params!$B$4)*(A54/1000)</f>
        <v>-11.0811336644003</v>
      </c>
      <c r="F54" s="18" t="s">
        <v>47</v>
      </c>
    </row>
    <row r="55" customFormat="false" ht="15" hidden="false" customHeight="false" outlineLevel="0" collapsed="false">
      <c r="A55" s="10" t="n">
        <v>1.48</v>
      </c>
      <c r="B55" s="15" t="n">
        <f aca="false">1000/A55</f>
        <v>675.675675675676</v>
      </c>
      <c r="C55" s="13" t="n">
        <f aca="false">Params!$E$8-(Params!$D$8/Params!$B$4)*(A55/1000)</f>
        <v>-11.0340626542438</v>
      </c>
      <c r="D55" s="13" t="n">
        <f aca="false">Params!$E$9-(Params!$D$9/Params!$B$4)*(A55/1000)</f>
        <v>-11.370362841982</v>
      </c>
      <c r="E55" s="13" t="n">
        <f aca="false">Params!$E$10-(Params!$D$10/Params!$B$4)*(A55/1000)</f>
        <v>-11.1042780634779</v>
      </c>
      <c r="F55" s="18" t="s">
        <v>47</v>
      </c>
    </row>
    <row r="56" customFormat="false" ht="15" hidden="false" customHeight="false" outlineLevel="0" collapsed="false">
      <c r="A56" s="10" t="n">
        <v>1.49</v>
      </c>
      <c r="B56" s="15" t="n">
        <f aca="false">1000/A56</f>
        <v>671.140939597315</v>
      </c>
      <c r="C56" s="13" t="n">
        <f aca="false">Params!$E$8-(Params!$D$8/Params!$B$4)*(A56/1000)</f>
        <v>-11.0569696248805</v>
      </c>
      <c r="D56" s="13" t="n">
        <f aca="false">Params!$E$9-(Params!$D$9/Params!$B$4)*(A56/1000)</f>
        <v>-11.403417847671</v>
      </c>
      <c r="E56" s="13" t="n">
        <f aca="false">Params!$E$10-(Params!$D$10/Params!$B$4)*(A56/1000)</f>
        <v>-11.1274224625554</v>
      </c>
      <c r="F56" s="18" t="s">
        <v>47</v>
      </c>
    </row>
    <row r="57" customFormat="false" ht="15" hidden="false" customHeight="false" outlineLevel="0" collapsed="false">
      <c r="A57" s="10" t="n">
        <v>1.5</v>
      </c>
      <c r="B57" s="15" t="n">
        <f aca="false">1000/A57</f>
        <v>666.666666666667</v>
      </c>
      <c r="C57" s="13" t="n">
        <f aca="false">Params!$E$8-(Params!$D$8/Params!$B$4)*(A57/1000)</f>
        <v>-11.0798765955173</v>
      </c>
      <c r="D57" s="13" t="n">
        <f aca="false">Params!$E$9-(Params!$D$9/Params!$B$4)*(A57/1000)</f>
        <v>-11.4364728533601</v>
      </c>
      <c r="E57" s="13" t="n">
        <f aca="false">Params!$E$10-(Params!$D$10/Params!$B$4)*(A57/1000)</f>
        <v>-11.150566861633</v>
      </c>
      <c r="F57" s="18" t="s">
        <v>47</v>
      </c>
    </row>
    <row r="58" customFormat="false" ht="15" hidden="false" customHeight="false" outlineLevel="0" collapsed="false">
      <c r="A58" s="10" t="n">
        <v>1.51</v>
      </c>
      <c r="B58" s="15" t="n">
        <f aca="false">1000/A58</f>
        <v>662.251655629139</v>
      </c>
      <c r="C58" s="13" t="n">
        <f aca="false">Params!$E$8-(Params!$D$8/Params!$B$4)*(A58/1000)</f>
        <v>-11.1027835661541</v>
      </c>
      <c r="D58" s="13" t="n">
        <f aca="false">Params!$E$9-(Params!$D$9/Params!$B$4)*(A58/1000)</f>
        <v>-11.4695278590492</v>
      </c>
      <c r="E58" s="13" t="n">
        <f aca="false">Params!$E$10-(Params!$D$10/Params!$B$4)*(A58/1000)</f>
        <v>-11.1737112607105</v>
      </c>
      <c r="F58" s="18" t="s">
        <v>47</v>
      </c>
    </row>
    <row r="59" customFormat="false" ht="15" hidden="false" customHeight="false" outlineLevel="0" collapsed="false">
      <c r="A59" s="10" t="n">
        <v>1.52</v>
      </c>
      <c r="B59" s="15" t="n">
        <f aca="false">1000/A59</f>
        <v>657.894736842105</v>
      </c>
      <c r="C59" s="13" t="n">
        <f aca="false">Params!$E$8-(Params!$D$8/Params!$B$4)*(A59/1000)</f>
        <v>-11.1256905367909</v>
      </c>
      <c r="D59" s="13" t="n">
        <f aca="false">Params!$E$9-(Params!$D$9/Params!$B$4)*(A59/1000)</f>
        <v>-11.5025828647383</v>
      </c>
      <c r="E59" s="13" t="n">
        <f aca="false">Params!$E$10-(Params!$D$10/Params!$B$4)*(A59/1000)</f>
        <v>-11.1968556597881</v>
      </c>
      <c r="F59" s="18" t="s">
        <v>47</v>
      </c>
    </row>
    <row r="60" customFormat="false" ht="15" hidden="false" customHeight="false" outlineLevel="0" collapsed="false">
      <c r="A60" s="10" t="n">
        <v>1.53</v>
      </c>
      <c r="B60" s="15" t="n">
        <f aca="false">1000/A60</f>
        <v>653.59477124183</v>
      </c>
      <c r="C60" s="13" t="n">
        <f aca="false">Params!$E$8-(Params!$D$8/Params!$B$4)*(A60/1000)</f>
        <v>-11.1485975074277</v>
      </c>
      <c r="D60" s="13" t="n">
        <f aca="false">Params!$E$9-(Params!$D$9/Params!$B$4)*(A60/1000)</f>
        <v>-11.5356378704273</v>
      </c>
      <c r="E60" s="13" t="n">
        <f aca="false">Params!$E$10-(Params!$D$10/Params!$B$4)*(A60/1000)</f>
        <v>-11.2200000588656</v>
      </c>
      <c r="F60" s="18" t="s">
        <v>47</v>
      </c>
    </row>
    <row r="61" customFormat="false" ht="15" hidden="false" customHeight="false" outlineLevel="0" collapsed="false">
      <c r="A61" s="10" t="n">
        <v>1.54</v>
      </c>
      <c r="B61" s="15" t="n">
        <f aca="false">1000/A61</f>
        <v>649.350649350649</v>
      </c>
      <c r="C61" s="13" t="n">
        <f aca="false">Params!$E$8-(Params!$D$8/Params!$B$4)*(A61/1000)</f>
        <v>-11.1715044780644</v>
      </c>
      <c r="D61" s="13" t="n">
        <f aca="false">Params!$E$9-(Params!$D$9/Params!$B$4)*(A61/1000)</f>
        <v>-11.5686928761164</v>
      </c>
      <c r="E61" s="13" t="n">
        <f aca="false">Params!$E$10-(Params!$D$10/Params!$B$4)*(A61/1000)</f>
        <v>-11.2431444579432</v>
      </c>
      <c r="F61" s="18" t="s">
        <v>47</v>
      </c>
    </row>
    <row r="62" customFormat="false" ht="15" hidden="false" customHeight="false" outlineLevel="0" collapsed="false">
      <c r="A62" s="10" t="n">
        <v>1.55</v>
      </c>
      <c r="B62" s="15" t="n">
        <f aca="false">1000/A62</f>
        <v>645.161290322581</v>
      </c>
      <c r="C62" s="13" t="n">
        <f aca="false">Params!$E$8-(Params!$D$8/Params!$B$4)*(A62/1000)</f>
        <v>-11.1944114487012</v>
      </c>
      <c r="D62" s="13" t="n">
        <f aca="false">Params!$E$9-(Params!$D$9/Params!$B$4)*(A62/1000)</f>
        <v>-11.6017478818055</v>
      </c>
      <c r="E62" s="13" t="n">
        <f aca="false">Params!$E$10-(Params!$D$10/Params!$B$4)*(A62/1000)</f>
        <v>-11.2662888570207</v>
      </c>
      <c r="F62" s="18" t="s">
        <v>47</v>
      </c>
    </row>
    <row r="63" customFormat="false" ht="15" hidden="false" customHeight="false" outlineLevel="0" collapsed="false">
      <c r="A63" s="10" t="n">
        <v>1.56</v>
      </c>
      <c r="B63" s="15" t="n">
        <f aca="false">1000/A63</f>
        <v>641.025641025641</v>
      </c>
      <c r="C63" s="13" t="n">
        <f aca="false">Params!$E$8-(Params!$D$8/Params!$B$4)*(A63/1000)</f>
        <v>-11.217318419338</v>
      </c>
      <c r="D63" s="13" t="n">
        <f aca="false">Params!$E$9-(Params!$D$9/Params!$B$4)*(A63/1000)</f>
        <v>-11.6348028874945</v>
      </c>
      <c r="E63" s="13" t="n">
        <f aca="false">Params!$E$10-(Params!$D$10/Params!$B$4)*(A63/1000)</f>
        <v>-11.2894332560983</v>
      </c>
      <c r="F63" s="18" t="s">
        <v>47</v>
      </c>
    </row>
    <row r="64" customFormat="false" ht="15" hidden="false" customHeight="false" outlineLevel="0" collapsed="false">
      <c r="A64" s="10" t="n">
        <v>1.57</v>
      </c>
      <c r="B64" s="15" t="n">
        <f aca="false">1000/A64</f>
        <v>636.942675159236</v>
      </c>
      <c r="C64" s="13" t="n">
        <f aca="false">Params!$E$8-(Params!$D$8/Params!$B$4)*(A64/1000)</f>
        <v>-11.2402253899748</v>
      </c>
      <c r="D64" s="13" t="n">
        <f aca="false">Params!$E$9-(Params!$D$9/Params!$B$4)*(A64/1000)</f>
        <v>-11.6678578931836</v>
      </c>
      <c r="E64" s="13" t="n">
        <f aca="false">Params!$E$10-(Params!$D$10/Params!$B$4)*(A64/1000)</f>
        <v>-11.3125776551758</v>
      </c>
      <c r="F64" s="18" t="s">
        <v>47</v>
      </c>
    </row>
    <row r="65" customFormat="false" ht="15" hidden="false" customHeight="false" outlineLevel="0" collapsed="false">
      <c r="A65" s="10" t="n">
        <v>1.58</v>
      </c>
      <c r="B65" s="15" t="n">
        <f aca="false">1000/A65</f>
        <v>632.911392405063</v>
      </c>
      <c r="C65" s="13" t="n">
        <f aca="false">Params!$E$8-(Params!$D$8/Params!$B$4)*(A65/1000)</f>
        <v>-11.2631323606116</v>
      </c>
      <c r="D65" s="13" t="n">
        <f aca="false">Params!$E$9-(Params!$D$9/Params!$B$4)*(A65/1000)</f>
        <v>-11.7009128988727</v>
      </c>
      <c r="E65" s="13" t="n">
        <f aca="false">Params!$E$10-(Params!$D$10/Params!$B$4)*(A65/1000)</f>
        <v>-11.3357220542534</v>
      </c>
      <c r="F65" s="18" t="s">
        <v>47</v>
      </c>
    </row>
    <row r="66" customFormat="false" ht="15" hidden="false" customHeight="false" outlineLevel="0" collapsed="false">
      <c r="A66" s="10" t="n">
        <v>1.59</v>
      </c>
      <c r="B66" s="15" t="n">
        <f aca="false">1000/A66</f>
        <v>628.930817610063</v>
      </c>
      <c r="C66" s="13" t="n">
        <f aca="false">Params!$E$8-(Params!$D$8/Params!$B$4)*(A66/1000)</f>
        <v>-11.2860393312484</v>
      </c>
      <c r="D66" s="13" t="n">
        <f aca="false">Params!$E$9-(Params!$D$9/Params!$B$4)*(A66/1000)</f>
        <v>-11.7339679045617</v>
      </c>
      <c r="E66" s="13" t="n">
        <f aca="false">Params!$E$10-(Params!$D$10/Params!$B$4)*(A66/1000)</f>
        <v>-11.3588664533309</v>
      </c>
      <c r="F66" s="18" t="s">
        <v>47</v>
      </c>
    </row>
    <row r="67" customFormat="false" ht="15" hidden="false" customHeight="false" outlineLevel="0" collapsed="false">
      <c r="A67" s="10" t="n">
        <v>1.6</v>
      </c>
      <c r="B67" s="15" t="n">
        <f aca="false">1000/A67</f>
        <v>625</v>
      </c>
      <c r="C67" s="13" t="n">
        <f aca="false">Params!$E$8-(Params!$D$8/Params!$B$4)*(A67/1000)</f>
        <v>-11.3089463018851</v>
      </c>
      <c r="D67" s="13" t="n">
        <f aca="false">Params!$E$9-(Params!$D$9/Params!$B$4)*(A67/1000)</f>
        <v>-11.7670229102508</v>
      </c>
      <c r="E67" s="13" t="n">
        <f aca="false">Params!$E$10-(Params!$D$10/Params!$B$4)*(A67/1000)</f>
        <v>-11.3820108524085</v>
      </c>
      <c r="F67" s="18" t="s">
        <v>47</v>
      </c>
    </row>
    <row r="68" customFormat="false" ht="15" hidden="false" customHeight="false" outlineLevel="0" collapsed="false">
      <c r="A68" s="10" t="n">
        <v>1.61</v>
      </c>
      <c r="B68" s="15" t="n">
        <f aca="false">1000/A68</f>
        <v>621.11801242236</v>
      </c>
      <c r="C68" s="13" t="n">
        <f aca="false">Params!$E$8-(Params!$D$8/Params!$B$4)*(A68/1000)</f>
        <v>-11.3318532725219</v>
      </c>
      <c r="D68" s="13" t="n">
        <f aca="false">Params!$E$9-(Params!$D$9/Params!$B$4)*(A68/1000)</f>
        <v>-11.8000779159399</v>
      </c>
      <c r="E68" s="13" t="n">
        <f aca="false">Params!$E$10-(Params!$D$10/Params!$B$4)*(A68/1000)</f>
        <v>-11.405155251486</v>
      </c>
      <c r="F68" s="18" t="s">
        <v>47</v>
      </c>
    </row>
    <row r="69" customFormat="false" ht="15" hidden="false" customHeight="false" outlineLevel="0" collapsed="false">
      <c r="A69" s="10" t="n">
        <v>1.62</v>
      </c>
      <c r="B69" s="15" t="n">
        <f aca="false">1000/A69</f>
        <v>617.283950617284</v>
      </c>
      <c r="C69" s="13" t="n">
        <f aca="false">Params!$E$8-(Params!$D$8/Params!$B$4)*(A69/1000)</f>
        <v>-11.3547602431587</v>
      </c>
      <c r="D69" s="13" t="n">
        <f aca="false">Params!$E$9-(Params!$D$9/Params!$B$4)*(A69/1000)</f>
        <v>-11.8331329216289</v>
      </c>
      <c r="E69" s="13" t="n">
        <f aca="false">Params!$E$10-(Params!$D$10/Params!$B$4)*(A69/1000)</f>
        <v>-11.4282996505636</v>
      </c>
      <c r="F69" s="18" t="s">
        <v>47</v>
      </c>
    </row>
    <row r="70" customFormat="false" ht="15" hidden="false" customHeight="false" outlineLevel="0" collapsed="false">
      <c r="A70" s="10" t="n">
        <v>1.63</v>
      </c>
      <c r="B70" s="15" t="n">
        <f aca="false">1000/A70</f>
        <v>613.496932515337</v>
      </c>
      <c r="C70" s="13" t="n">
        <f aca="false">Params!$E$8-(Params!$D$8/Params!$B$4)*(A70/1000)</f>
        <v>-11.3776672137955</v>
      </c>
      <c r="D70" s="13" t="n">
        <f aca="false">Params!$E$9-(Params!$D$9/Params!$B$4)*(A70/1000)</f>
        <v>-11.866187927318</v>
      </c>
      <c r="E70" s="13" t="n">
        <f aca="false">Params!$E$10-(Params!$D$10/Params!$B$4)*(A70/1000)</f>
        <v>-11.4514440496411</v>
      </c>
      <c r="F70" s="18" t="s">
        <v>47</v>
      </c>
    </row>
    <row r="71" customFormat="false" ht="15" hidden="false" customHeight="false" outlineLevel="0" collapsed="false">
      <c r="A71" s="10" t="n">
        <v>1.64</v>
      </c>
      <c r="B71" s="15" t="n">
        <f aca="false">1000/A71</f>
        <v>609.756097560976</v>
      </c>
      <c r="C71" s="13" t="n">
        <f aca="false">Params!$E$8-(Params!$D$8/Params!$B$4)*(A71/1000)</f>
        <v>-11.4005741844323</v>
      </c>
      <c r="D71" s="13" t="n">
        <f aca="false">Params!$E$9-(Params!$D$9/Params!$B$4)*(A71/1000)</f>
        <v>-11.8992429330071</v>
      </c>
      <c r="E71" s="13" t="n">
        <f aca="false">Params!$E$10-(Params!$D$10/Params!$B$4)*(A71/1000)</f>
        <v>-11.4745884487187</v>
      </c>
      <c r="F71" s="18" t="s">
        <v>47</v>
      </c>
    </row>
    <row r="72" customFormat="false" ht="15" hidden="false" customHeight="false" outlineLevel="0" collapsed="false">
      <c r="A72" s="10" t="n">
        <v>1.65</v>
      </c>
      <c r="B72" s="15" t="n">
        <f aca="false">1000/A72</f>
        <v>606.060606060606</v>
      </c>
      <c r="C72" s="13" t="n">
        <f aca="false">Params!$E$8-(Params!$D$8/Params!$B$4)*(A72/1000)</f>
        <v>-11.4234811550691</v>
      </c>
      <c r="D72" s="13" t="n">
        <f aca="false">Params!$E$9-(Params!$D$9/Params!$B$4)*(A72/1000)</f>
        <v>-11.9322979386961</v>
      </c>
      <c r="E72" s="13" t="n">
        <f aca="false">Params!$E$10-(Params!$D$10/Params!$B$4)*(A72/1000)</f>
        <v>-11.4977328477963</v>
      </c>
      <c r="F72" s="18" t="s">
        <v>47</v>
      </c>
    </row>
    <row r="73" customFormat="false" ht="15" hidden="false" customHeight="false" outlineLevel="0" collapsed="false">
      <c r="A73" s="10" t="n">
        <v>1.66</v>
      </c>
      <c r="B73" s="15" t="n">
        <f aca="false">1000/A73</f>
        <v>602.409638554217</v>
      </c>
      <c r="C73" s="13" t="n">
        <f aca="false">Params!$E$8-(Params!$D$8/Params!$B$4)*(A73/1000)</f>
        <v>-11.4463881257058</v>
      </c>
      <c r="D73" s="13" t="n">
        <f aca="false">Params!$E$9-(Params!$D$9/Params!$B$4)*(A73/1000)</f>
        <v>-11.9653529443852</v>
      </c>
      <c r="E73" s="13" t="n">
        <f aca="false">Params!$E$10-(Params!$D$10/Params!$B$4)*(A73/1000)</f>
        <v>-11.5208772468738</v>
      </c>
      <c r="F73" s="18" t="s">
        <v>47</v>
      </c>
    </row>
    <row r="74" customFormat="false" ht="15" hidden="false" customHeight="false" outlineLevel="0" collapsed="false">
      <c r="A74" s="10" t="n">
        <v>1.67</v>
      </c>
      <c r="B74" s="15" t="n">
        <f aca="false">1000/A74</f>
        <v>598.802395209581</v>
      </c>
      <c r="C74" s="13" t="n">
        <f aca="false">Params!$E$8-(Params!$D$8/Params!$B$4)*(A74/1000)</f>
        <v>-11.4692950963426</v>
      </c>
      <c r="D74" s="13" t="n">
        <f aca="false">Params!$E$9-(Params!$D$9/Params!$B$4)*(A74/1000)</f>
        <v>-11.9984079500743</v>
      </c>
      <c r="E74" s="13" t="n">
        <f aca="false">Params!$E$10-(Params!$D$10/Params!$B$4)*(A74/1000)</f>
        <v>-11.5440216459514</v>
      </c>
      <c r="F74" s="19" t="s">
        <v>48</v>
      </c>
    </row>
    <row r="75" customFormat="false" ht="15" hidden="false" customHeight="false" outlineLevel="0" collapsed="false">
      <c r="A75" s="10" t="n">
        <v>1.68</v>
      </c>
      <c r="B75" s="15" t="n">
        <f aca="false">1000/A75</f>
        <v>595.238095238095</v>
      </c>
      <c r="C75" s="13" t="n">
        <f aca="false">Params!$E$8-(Params!$D$8/Params!$B$4)*(A75/1000)</f>
        <v>-11.4922020669794</v>
      </c>
      <c r="D75" s="13" t="n">
        <f aca="false">Params!$E$9-(Params!$D$9/Params!$B$4)*(A75/1000)</f>
        <v>-12.0314629557633</v>
      </c>
      <c r="E75" s="13" t="n">
        <f aca="false">Params!$E$10-(Params!$D$10/Params!$B$4)*(A75/1000)</f>
        <v>-11.5671660450289</v>
      </c>
      <c r="F75" s="19" t="s">
        <v>48</v>
      </c>
    </row>
    <row r="76" customFormat="false" ht="15" hidden="false" customHeight="false" outlineLevel="0" collapsed="false">
      <c r="A76" s="10" t="n">
        <v>1.69</v>
      </c>
      <c r="B76" s="15" t="n">
        <f aca="false">1000/A76</f>
        <v>591.715976331361</v>
      </c>
      <c r="C76" s="13" t="n">
        <f aca="false">Params!$E$8-(Params!$D$8/Params!$B$4)*(A76/1000)</f>
        <v>-11.5151090376162</v>
      </c>
      <c r="D76" s="13" t="n">
        <f aca="false">Params!$E$9-(Params!$D$9/Params!$B$4)*(A76/1000)</f>
        <v>-12.0645179614524</v>
      </c>
      <c r="E76" s="13" t="n">
        <f aca="false">Params!$E$10-(Params!$D$10/Params!$B$4)*(A76/1000)</f>
        <v>-11.5903104441065</v>
      </c>
      <c r="F76" s="19" t="s">
        <v>48</v>
      </c>
    </row>
    <row r="77" customFormat="false" ht="15" hidden="false" customHeight="false" outlineLevel="0" collapsed="false">
      <c r="A77" s="10" t="n">
        <v>1.7</v>
      </c>
      <c r="B77" s="15" t="n">
        <f aca="false">1000/A77</f>
        <v>588.235294117647</v>
      </c>
      <c r="C77" s="13" t="n">
        <f aca="false">Params!$E$8-(Params!$D$8/Params!$B$4)*(A77/1000)</f>
        <v>-11.538016008253</v>
      </c>
      <c r="D77" s="13" t="n">
        <f aca="false">Params!$E$9-(Params!$D$9/Params!$B$4)*(A77/1000)</f>
        <v>-12.0975729671415</v>
      </c>
      <c r="E77" s="13" t="n">
        <f aca="false">Params!$E$10-(Params!$D$10/Params!$B$4)*(A77/1000)</f>
        <v>-11.613454843184</v>
      </c>
      <c r="F77" s="19" t="s">
        <v>48</v>
      </c>
    </row>
    <row r="78" customFormat="false" ht="15" hidden="false" customHeight="false" outlineLevel="0" collapsed="false">
      <c r="A78" s="10" t="n">
        <v>1.71</v>
      </c>
      <c r="B78" s="15" t="n">
        <f aca="false">1000/A78</f>
        <v>584.795321637427</v>
      </c>
      <c r="C78" s="13" t="n">
        <f aca="false">Params!$E$8-(Params!$D$8/Params!$B$4)*(A78/1000)</f>
        <v>-11.5609229788897</v>
      </c>
      <c r="D78" s="13" t="n">
        <f aca="false">Params!$E$9-(Params!$D$9/Params!$B$4)*(A78/1000)</f>
        <v>-12.1306279728305</v>
      </c>
      <c r="E78" s="13" t="n">
        <f aca="false">Params!$E$10-(Params!$D$10/Params!$B$4)*(A78/1000)</f>
        <v>-11.6365992422616</v>
      </c>
      <c r="F78" s="19" t="s">
        <v>48</v>
      </c>
    </row>
    <row r="79" customFormat="false" ht="15" hidden="false" customHeight="false" outlineLevel="0" collapsed="false">
      <c r="A79" s="10" t="n">
        <v>1.72</v>
      </c>
      <c r="B79" s="15" t="n">
        <f aca="false">1000/A79</f>
        <v>581.395348837209</v>
      </c>
      <c r="C79" s="13" t="n">
        <f aca="false">Params!$E$8-(Params!$D$8/Params!$B$4)*(A79/1000)</f>
        <v>-11.5838299495265</v>
      </c>
      <c r="D79" s="13" t="n">
        <f aca="false">Params!$E$9-(Params!$D$9/Params!$B$4)*(A79/1000)</f>
        <v>-12.1636829785196</v>
      </c>
      <c r="E79" s="13" t="n">
        <f aca="false">Params!$E$10-(Params!$D$10/Params!$B$4)*(A79/1000)</f>
        <v>-11.6597436413391</v>
      </c>
      <c r="F79" s="19" t="s">
        <v>48</v>
      </c>
    </row>
    <row r="80" customFormat="false" ht="15" hidden="false" customHeight="false" outlineLevel="0" collapsed="false">
      <c r="A80" s="10" t="n">
        <v>1.73</v>
      </c>
      <c r="B80" s="15" t="n">
        <f aca="false">1000/A80</f>
        <v>578.034682080925</v>
      </c>
      <c r="C80" s="13" t="n">
        <f aca="false">Params!$E$8-(Params!$D$8/Params!$B$4)*(A80/1000)</f>
        <v>-11.6067369201633</v>
      </c>
      <c r="D80" s="13" t="n">
        <f aca="false">Params!$E$9-(Params!$D$9/Params!$B$4)*(A80/1000)</f>
        <v>-12.1967379842087</v>
      </c>
      <c r="E80" s="13" t="n">
        <f aca="false">Params!$E$10-(Params!$D$10/Params!$B$4)*(A80/1000)</f>
        <v>-11.6828880404167</v>
      </c>
      <c r="F80" s="19" t="s">
        <v>48</v>
      </c>
    </row>
    <row r="81" customFormat="false" ht="15" hidden="false" customHeight="false" outlineLevel="0" collapsed="false">
      <c r="A81" s="10" t="n">
        <v>1.74</v>
      </c>
      <c r="B81" s="15" t="n">
        <f aca="false">1000/A81</f>
        <v>574.712643678161</v>
      </c>
      <c r="C81" s="13" t="n">
        <f aca="false">Params!$E$8-(Params!$D$8/Params!$B$4)*(A81/1000)</f>
        <v>-11.6296438908001</v>
      </c>
      <c r="D81" s="13" t="n">
        <f aca="false">Params!$E$9-(Params!$D$9/Params!$B$4)*(A81/1000)</f>
        <v>-12.2297929898977</v>
      </c>
      <c r="E81" s="13" t="n">
        <f aca="false">Params!$E$10-(Params!$D$10/Params!$B$4)*(A81/1000)</f>
        <v>-11.7060324394942</v>
      </c>
      <c r="F81" s="19" t="s">
        <v>48</v>
      </c>
    </row>
    <row r="82" customFormat="false" ht="15" hidden="false" customHeight="false" outlineLevel="0" collapsed="false">
      <c r="A82" s="10" t="n">
        <v>1.75</v>
      </c>
      <c r="B82" s="15" t="n">
        <f aca="false">1000/A82</f>
        <v>571.428571428571</v>
      </c>
      <c r="C82" s="13" t="n">
        <f aca="false">Params!$E$8-(Params!$D$8/Params!$B$4)*(A82/1000)</f>
        <v>-11.6525508614369</v>
      </c>
      <c r="D82" s="13" t="n">
        <f aca="false">Params!$E$9-(Params!$D$9/Params!$B$4)*(A82/1000)</f>
        <v>-12.2628479955868</v>
      </c>
      <c r="E82" s="13" t="n">
        <f aca="false">Params!$E$10-(Params!$D$10/Params!$B$4)*(A82/1000)</f>
        <v>-11.7291768385718</v>
      </c>
      <c r="F82" s="19" t="s">
        <v>48</v>
      </c>
    </row>
    <row r="83" customFormat="false" ht="15" hidden="false" customHeight="false" outlineLevel="0" collapsed="false">
      <c r="A83" s="10" t="n">
        <v>1.76</v>
      </c>
      <c r="B83" s="15" t="n">
        <f aca="false">1000/A83</f>
        <v>568.181818181818</v>
      </c>
      <c r="C83" s="13" t="n">
        <f aca="false">Params!$E$8-(Params!$D$8/Params!$B$4)*(A83/1000)</f>
        <v>-11.6754578320737</v>
      </c>
      <c r="D83" s="13" t="n">
        <f aca="false">Params!$E$9-(Params!$D$9/Params!$B$4)*(A83/1000)</f>
        <v>-12.2959030012759</v>
      </c>
      <c r="E83" s="13" t="n">
        <f aca="false">Params!$E$10-(Params!$D$10/Params!$B$4)*(A83/1000)</f>
        <v>-11.7523212376493</v>
      </c>
      <c r="F83" s="19" t="s">
        <v>48</v>
      </c>
    </row>
    <row r="84" customFormat="false" ht="15" hidden="false" customHeight="false" outlineLevel="0" collapsed="false">
      <c r="A84" s="10" t="n">
        <v>1.77</v>
      </c>
      <c r="B84" s="15" t="n">
        <f aca="false">1000/A84</f>
        <v>564.971751412429</v>
      </c>
      <c r="C84" s="13" t="n">
        <f aca="false">Params!$E$8-(Params!$D$8/Params!$B$4)*(A84/1000)</f>
        <v>-11.6983648027104</v>
      </c>
      <c r="D84" s="13" t="n">
        <f aca="false">Params!$E$9-(Params!$D$9/Params!$B$4)*(A84/1000)</f>
        <v>-12.3289580069649</v>
      </c>
      <c r="E84" s="13" t="n">
        <f aca="false">Params!$E$10-(Params!$D$10/Params!$B$4)*(A84/1000)</f>
        <v>-11.7754656367269</v>
      </c>
      <c r="F84" s="19" t="s">
        <v>48</v>
      </c>
    </row>
    <row r="85" customFormat="false" ht="15" hidden="false" customHeight="false" outlineLevel="0" collapsed="false">
      <c r="A85" s="10" t="n">
        <v>1.78</v>
      </c>
      <c r="B85" s="15" t="n">
        <f aca="false">1000/A85</f>
        <v>561.797752808989</v>
      </c>
      <c r="C85" s="13" t="n">
        <f aca="false">Params!$E$8-(Params!$D$8/Params!$B$4)*(A85/1000)</f>
        <v>-11.7212717733472</v>
      </c>
      <c r="D85" s="13" t="n">
        <f aca="false">Params!$E$9-(Params!$D$9/Params!$B$4)*(A85/1000)</f>
        <v>-12.362013012654</v>
      </c>
      <c r="E85" s="13" t="n">
        <f aca="false">Params!$E$10-(Params!$D$10/Params!$B$4)*(A85/1000)</f>
        <v>-11.7986100358044</v>
      </c>
      <c r="F85" s="19" t="s">
        <v>48</v>
      </c>
    </row>
    <row r="86" customFormat="false" ht="15" hidden="false" customHeight="false" outlineLevel="0" collapsed="false">
      <c r="A86" s="10" t="n">
        <v>1.79</v>
      </c>
      <c r="B86" s="15" t="n">
        <f aca="false">1000/A86</f>
        <v>558.659217877095</v>
      </c>
      <c r="C86" s="13" t="n">
        <f aca="false">Params!$E$8-(Params!$D$8/Params!$B$4)*(A86/1000)</f>
        <v>-11.744178743984</v>
      </c>
      <c r="D86" s="13" t="n">
        <f aca="false">Params!$E$9-(Params!$D$9/Params!$B$4)*(A86/1000)</f>
        <v>-12.3950680183431</v>
      </c>
      <c r="E86" s="13" t="n">
        <f aca="false">Params!$E$10-(Params!$D$10/Params!$B$4)*(A86/1000)</f>
        <v>-11.821754434882</v>
      </c>
      <c r="F86" s="19" t="s">
        <v>48</v>
      </c>
    </row>
    <row r="87" customFormat="false" ht="15" hidden="false" customHeight="false" outlineLevel="0" collapsed="false">
      <c r="A87" s="10" t="n">
        <v>1.8</v>
      </c>
      <c r="B87" s="15" t="n">
        <f aca="false">1000/A87</f>
        <v>555.555555555556</v>
      </c>
      <c r="C87" s="13" t="n">
        <f aca="false">Params!$E$8-(Params!$D$8/Params!$B$4)*(A87/1000)</f>
        <v>-11.7670857146208</v>
      </c>
      <c r="D87" s="13" t="n">
        <f aca="false">Params!$E$9-(Params!$D$9/Params!$B$4)*(A87/1000)</f>
        <v>-12.4281230240321</v>
      </c>
      <c r="E87" s="13" t="n">
        <f aca="false">Params!$E$10-(Params!$D$10/Params!$B$4)*(A87/1000)</f>
        <v>-11.8448988339595</v>
      </c>
      <c r="F87" s="19" t="s">
        <v>48</v>
      </c>
    </row>
    <row r="88" customFormat="false" ht="15" hidden="false" customHeight="false" outlineLevel="0" collapsed="false">
      <c r="A88" s="10" t="n">
        <v>1.81</v>
      </c>
      <c r="B88" s="15" t="n">
        <f aca="false">1000/A88</f>
        <v>552.486187845304</v>
      </c>
      <c r="C88" s="13" t="n">
        <f aca="false">Params!$E$8-(Params!$D$8/Params!$B$4)*(A88/1000)</f>
        <v>-11.7899926852576</v>
      </c>
      <c r="D88" s="13" t="n">
        <f aca="false">Params!$E$9-(Params!$D$9/Params!$B$4)*(A88/1000)</f>
        <v>-12.4611780297212</v>
      </c>
      <c r="E88" s="13" t="n">
        <f aca="false">Params!$E$10-(Params!$D$10/Params!$B$4)*(A88/1000)</f>
        <v>-11.8680432330371</v>
      </c>
      <c r="F88" s="19" t="s">
        <v>48</v>
      </c>
    </row>
    <row r="89" customFormat="false" ht="15" hidden="false" customHeight="false" outlineLevel="0" collapsed="false">
      <c r="A89" s="10" t="n">
        <v>1.82</v>
      </c>
      <c r="B89" s="15" t="n">
        <f aca="false">1000/A89</f>
        <v>549.45054945055</v>
      </c>
      <c r="C89" s="13" t="n">
        <f aca="false">Params!$E$8-(Params!$D$8/Params!$B$4)*(A89/1000)</f>
        <v>-11.8128996558943</v>
      </c>
      <c r="D89" s="13" t="n">
        <f aca="false">Params!$E$9-(Params!$D$9/Params!$B$4)*(A89/1000)</f>
        <v>-12.4942330354103</v>
      </c>
      <c r="E89" s="13" t="n">
        <f aca="false">Params!$E$10-(Params!$D$10/Params!$B$4)*(A89/1000)</f>
        <v>-11.8911876321147</v>
      </c>
      <c r="F89" s="19" t="s">
        <v>48</v>
      </c>
    </row>
    <row r="90" customFormat="false" ht="15" hidden="false" customHeight="false" outlineLevel="0" collapsed="false">
      <c r="A90" s="10" t="n">
        <v>1.83</v>
      </c>
      <c r="B90" s="15" t="n">
        <f aca="false">1000/A90</f>
        <v>546.448087431694</v>
      </c>
      <c r="C90" s="13" t="n">
        <f aca="false">Params!$E$8-(Params!$D$8/Params!$B$4)*(A90/1000)</f>
        <v>-11.8358066265311</v>
      </c>
      <c r="D90" s="13" t="n">
        <f aca="false">Params!$E$9-(Params!$D$9/Params!$B$4)*(A90/1000)</f>
        <v>-12.5272880410993</v>
      </c>
      <c r="E90" s="13" t="n">
        <f aca="false">Params!$E$10-(Params!$D$10/Params!$B$4)*(A90/1000)</f>
        <v>-11.9143320311922</v>
      </c>
      <c r="F90" s="19" t="s">
        <v>48</v>
      </c>
    </row>
    <row r="91" customFormat="false" ht="15" hidden="false" customHeight="false" outlineLevel="0" collapsed="false">
      <c r="A91" s="10" t="n">
        <v>1.84</v>
      </c>
      <c r="B91" s="15" t="n">
        <f aca="false">1000/A91</f>
        <v>543.478260869565</v>
      </c>
      <c r="C91" s="13" t="n">
        <f aca="false">Params!$E$8-(Params!$D$8/Params!$B$4)*(A91/1000)</f>
        <v>-11.8587135971679</v>
      </c>
      <c r="D91" s="13" t="n">
        <f aca="false">Params!$E$9-(Params!$D$9/Params!$B$4)*(A91/1000)</f>
        <v>-12.5603430467884</v>
      </c>
      <c r="E91" s="13" t="n">
        <f aca="false">Params!$E$10-(Params!$D$10/Params!$B$4)*(A91/1000)</f>
        <v>-11.9374764302698</v>
      </c>
      <c r="F91" s="19" t="s">
        <v>48</v>
      </c>
    </row>
    <row r="92" customFormat="false" ht="15" hidden="false" customHeight="false" outlineLevel="0" collapsed="false">
      <c r="A92" s="10" t="n">
        <v>1.85</v>
      </c>
      <c r="B92" s="15" t="n">
        <f aca="false">1000/A92</f>
        <v>540.540540540541</v>
      </c>
      <c r="C92" s="13" t="n">
        <f aca="false">Params!$E$8-(Params!$D$8/Params!$B$4)*(A92/1000)</f>
        <v>-11.8816205678047</v>
      </c>
      <c r="D92" s="13" t="n">
        <f aca="false">Params!$E$9-(Params!$D$9/Params!$B$4)*(A92/1000)</f>
        <v>-12.5933980524775</v>
      </c>
      <c r="E92" s="13" t="n">
        <f aca="false">Params!$E$10-(Params!$D$10/Params!$B$4)*(A92/1000)</f>
        <v>-11.9606208293473</v>
      </c>
      <c r="F92" s="19" t="s">
        <v>48</v>
      </c>
    </row>
    <row r="93" customFormat="false" ht="15" hidden="false" customHeight="false" outlineLevel="0" collapsed="false">
      <c r="A93" s="10" t="n">
        <v>1.86</v>
      </c>
      <c r="B93" s="15" t="n">
        <f aca="false">1000/A93</f>
        <v>537.634408602151</v>
      </c>
      <c r="C93" s="13" t="n">
        <f aca="false">Params!$E$8-(Params!$D$8/Params!$B$4)*(A93/1000)</f>
        <v>-11.9045275384415</v>
      </c>
      <c r="D93" s="13" t="n">
        <f aca="false">Params!$E$9-(Params!$D$9/Params!$B$4)*(A93/1000)</f>
        <v>-12.6264530581665</v>
      </c>
      <c r="E93" s="13" t="n">
        <f aca="false">Params!$E$10-(Params!$D$10/Params!$B$4)*(A93/1000)</f>
        <v>-11.9837652284249</v>
      </c>
      <c r="F93" s="19" t="s">
        <v>48</v>
      </c>
    </row>
    <row r="94" customFormat="false" ht="15" hidden="false" customHeight="false" outlineLevel="0" collapsed="false">
      <c r="A94" s="10" t="n">
        <v>1.87</v>
      </c>
      <c r="B94" s="15" t="n">
        <f aca="false">1000/A94</f>
        <v>534.75935828877</v>
      </c>
      <c r="C94" s="13" t="n">
        <f aca="false">Params!$E$8-(Params!$D$8/Params!$B$4)*(A94/1000)</f>
        <v>-11.9274345090783</v>
      </c>
      <c r="D94" s="13" t="n">
        <f aca="false">Params!$E$9-(Params!$D$9/Params!$B$4)*(A94/1000)</f>
        <v>-12.6595080638556</v>
      </c>
      <c r="E94" s="13" t="n">
        <f aca="false">Params!$E$10-(Params!$D$10/Params!$B$4)*(A94/1000)</f>
        <v>-12.0069096275024</v>
      </c>
      <c r="F94" s="19" t="s">
        <v>48</v>
      </c>
    </row>
    <row r="95" customFormat="false" ht="15" hidden="false" customHeight="false" outlineLevel="0" collapsed="false">
      <c r="A95" s="10" t="n">
        <v>1.88</v>
      </c>
      <c r="B95" s="15" t="n">
        <f aca="false">1000/A95</f>
        <v>531.914893617021</v>
      </c>
      <c r="C95" s="13" t="n">
        <f aca="false">Params!$E$8-(Params!$D$8/Params!$B$4)*(A95/1000)</f>
        <v>-11.950341479715</v>
      </c>
      <c r="D95" s="13" t="n">
        <f aca="false">Params!$E$9-(Params!$D$9/Params!$B$4)*(A95/1000)</f>
        <v>-12.6925630695447</v>
      </c>
      <c r="E95" s="13" t="n">
        <f aca="false">Params!$E$10-(Params!$D$10/Params!$B$4)*(A95/1000)</f>
        <v>-12.03005402658</v>
      </c>
      <c r="F95" s="19" t="s">
        <v>48</v>
      </c>
    </row>
    <row r="96" customFormat="false" ht="15" hidden="false" customHeight="false" outlineLevel="0" collapsed="false">
      <c r="A96" s="10" t="n">
        <v>1.89</v>
      </c>
      <c r="B96" s="15" t="n">
        <f aca="false">1000/A96</f>
        <v>529.100529100529</v>
      </c>
      <c r="C96" s="13" t="n">
        <f aca="false">Params!$E$8-(Params!$D$8/Params!$B$4)*(A96/1000)</f>
        <v>-11.9732484503518</v>
      </c>
      <c r="D96" s="13" t="n">
        <f aca="false">Params!$E$9-(Params!$D$9/Params!$B$4)*(A96/1000)</f>
        <v>-12.7256180752337</v>
      </c>
      <c r="E96" s="13" t="n">
        <f aca="false">Params!$E$10-(Params!$D$10/Params!$B$4)*(A96/1000)</f>
        <v>-12.0531984256575</v>
      </c>
      <c r="F96" s="19" t="s">
        <v>48</v>
      </c>
    </row>
    <row r="97" customFormat="false" ht="15" hidden="false" customHeight="false" outlineLevel="0" collapsed="false">
      <c r="A97" s="10" t="n">
        <v>1.9</v>
      </c>
      <c r="B97" s="15" t="n">
        <f aca="false">1000/A97</f>
        <v>526.315789473684</v>
      </c>
      <c r="C97" s="13" t="n">
        <f aca="false">Params!$E$8-(Params!$D$8/Params!$B$4)*(A97/1000)</f>
        <v>-11.9961554209886</v>
      </c>
      <c r="D97" s="13" t="n">
        <f aca="false">Params!$E$9-(Params!$D$9/Params!$B$4)*(A97/1000)</f>
        <v>-12.7586730809228</v>
      </c>
      <c r="E97" s="13" t="n">
        <f aca="false">Params!$E$10-(Params!$D$10/Params!$B$4)*(A97/1000)</f>
        <v>-12.0763428247351</v>
      </c>
      <c r="F97" s="19" t="s">
        <v>48</v>
      </c>
    </row>
    <row r="98" customFormat="false" ht="15" hidden="false" customHeight="false" outlineLevel="0" collapsed="false">
      <c r="A98" s="10" t="n">
        <v>1.91</v>
      </c>
      <c r="B98" s="15" t="n">
        <f aca="false">1000/A98</f>
        <v>523.560209424084</v>
      </c>
      <c r="C98" s="13" t="n">
        <f aca="false">Params!$E$8-(Params!$D$8/Params!$B$4)*(A98/1000)</f>
        <v>-12.0190623916254</v>
      </c>
      <c r="D98" s="13" t="n">
        <f aca="false">Params!$E$9-(Params!$D$9/Params!$B$4)*(A98/1000)</f>
        <v>-12.7917280866119</v>
      </c>
      <c r="E98" s="13" t="n">
        <f aca="false">Params!$E$10-(Params!$D$10/Params!$B$4)*(A98/1000)</f>
        <v>-12.0994872238126</v>
      </c>
      <c r="F98" s="19" t="s">
        <v>48</v>
      </c>
    </row>
    <row r="99" customFormat="false" ht="15" hidden="false" customHeight="false" outlineLevel="0" collapsed="false">
      <c r="A99" s="10" t="n">
        <v>1.92</v>
      </c>
      <c r="B99" s="15" t="n">
        <f aca="false">1000/A99</f>
        <v>520.833333333333</v>
      </c>
      <c r="C99" s="13" t="n">
        <f aca="false">Params!$E$8-(Params!$D$8/Params!$B$4)*(A99/1000)</f>
        <v>-12.0419693622622</v>
      </c>
      <c r="D99" s="13" t="n">
        <f aca="false">Params!$E$9-(Params!$D$9/Params!$B$4)*(A99/1000)</f>
        <v>-12.8247830923009</v>
      </c>
      <c r="E99" s="13" t="n">
        <f aca="false">Params!$E$10-(Params!$D$10/Params!$B$4)*(A99/1000)</f>
        <v>-12.1226316228902</v>
      </c>
      <c r="F99" s="19" t="s">
        <v>48</v>
      </c>
    </row>
    <row r="100" customFormat="false" ht="15" hidden="false" customHeight="false" outlineLevel="0" collapsed="false">
      <c r="A100" s="10" t="n">
        <v>1.93</v>
      </c>
      <c r="B100" s="15" t="n">
        <f aca="false">1000/A100</f>
        <v>518.134715025907</v>
      </c>
      <c r="C100" s="13" t="n">
        <f aca="false">Params!$E$8-(Params!$D$8/Params!$B$4)*(A100/1000)</f>
        <v>-12.064876332899</v>
      </c>
      <c r="D100" s="13" t="n">
        <f aca="false">Params!$E$9-(Params!$D$9/Params!$B$4)*(A100/1000)</f>
        <v>-12.85783809799</v>
      </c>
      <c r="E100" s="13" t="n">
        <f aca="false">Params!$E$10-(Params!$D$10/Params!$B$4)*(A100/1000)</f>
        <v>-12.1457760219677</v>
      </c>
      <c r="F100" s="19" t="s">
        <v>48</v>
      </c>
    </row>
    <row r="101" customFormat="false" ht="15" hidden="false" customHeight="false" outlineLevel="0" collapsed="false">
      <c r="A101" s="10" t="n">
        <v>1.94</v>
      </c>
      <c r="B101" s="15" t="n">
        <f aca="false">1000/A101</f>
        <v>515.463917525773</v>
      </c>
      <c r="C101" s="13" t="n">
        <f aca="false">Params!$E$8-(Params!$D$8/Params!$B$4)*(A101/1000)</f>
        <v>-12.0877833035357</v>
      </c>
      <c r="D101" s="13" t="n">
        <f aca="false">Params!$E$9-(Params!$D$9/Params!$B$4)*(A101/1000)</f>
        <v>-12.8908931036791</v>
      </c>
      <c r="E101" s="13" t="n">
        <f aca="false">Params!$E$10-(Params!$D$10/Params!$B$4)*(A101/1000)</f>
        <v>-12.1689204210453</v>
      </c>
      <c r="F101" s="19" t="s">
        <v>48</v>
      </c>
    </row>
    <row r="102" customFormat="false" ht="15" hidden="false" customHeight="false" outlineLevel="0" collapsed="false">
      <c r="A102" s="10" t="n">
        <v>1.95</v>
      </c>
      <c r="B102" s="15" t="n">
        <f aca="false">1000/A102</f>
        <v>512.820512820513</v>
      </c>
      <c r="C102" s="13" t="n">
        <f aca="false">Params!$E$8-(Params!$D$8/Params!$B$4)*(A102/1000)</f>
        <v>-12.1106902741725</v>
      </c>
      <c r="D102" s="13" t="n">
        <f aca="false">Params!$E$9-(Params!$D$9/Params!$B$4)*(A102/1000)</f>
        <v>-12.9239481093681</v>
      </c>
      <c r="E102" s="13" t="n">
        <f aca="false">Params!$E$10-(Params!$D$10/Params!$B$4)*(A102/1000)</f>
        <v>-12.1920648201228</v>
      </c>
      <c r="F102" s="19" t="s">
        <v>48</v>
      </c>
    </row>
    <row r="103" customFormat="false" ht="15" hidden="false" customHeight="false" outlineLevel="0" collapsed="false">
      <c r="A103" s="10" t="n">
        <v>1.96</v>
      </c>
      <c r="B103" s="15" t="n">
        <f aca="false">1000/A103</f>
        <v>510.204081632653</v>
      </c>
      <c r="C103" s="13" t="n">
        <f aca="false">Params!$E$8-(Params!$D$8/Params!$B$4)*(A103/1000)</f>
        <v>-12.1335972448093</v>
      </c>
      <c r="D103" s="13" t="n">
        <f aca="false">Params!$E$9-(Params!$D$9/Params!$B$4)*(A103/1000)</f>
        <v>-12.9570031150572</v>
      </c>
      <c r="E103" s="13" t="n">
        <f aca="false">Params!$E$10-(Params!$D$10/Params!$B$4)*(A103/1000)</f>
        <v>-12.2152092192004</v>
      </c>
      <c r="F103" s="19" t="s">
        <v>48</v>
      </c>
    </row>
    <row r="104" customFormat="false" ht="15" hidden="false" customHeight="false" outlineLevel="0" collapsed="false">
      <c r="A104" s="10" t="n">
        <v>1.97</v>
      </c>
      <c r="B104" s="15" t="n">
        <f aca="false">1000/A104</f>
        <v>507.61421319797</v>
      </c>
      <c r="C104" s="13" t="n">
        <f aca="false">Params!$E$8-(Params!$D$8/Params!$B$4)*(A104/1000)</f>
        <v>-12.1565042154461</v>
      </c>
      <c r="D104" s="13" t="n">
        <f aca="false">Params!$E$9-(Params!$D$9/Params!$B$4)*(A104/1000)</f>
        <v>-12.9900581207463</v>
      </c>
      <c r="E104" s="13" t="n">
        <f aca="false">Params!$E$10-(Params!$D$10/Params!$B$4)*(A104/1000)</f>
        <v>-12.238353618278</v>
      </c>
      <c r="F104" s="19" t="s">
        <v>48</v>
      </c>
    </row>
    <row r="105" customFormat="false" ht="15" hidden="false" customHeight="false" outlineLevel="0" collapsed="false">
      <c r="A105" s="10" t="n">
        <v>1.98</v>
      </c>
      <c r="B105" s="15" t="n">
        <f aca="false">1000/A105</f>
        <v>505.050505050505</v>
      </c>
      <c r="C105" s="13" t="n">
        <f aca="false">Params!$E$8-(Params!$D$8/Params!$B$4)*(A105/1000)</f>
        <v>-12.1794111860829</v>
      </c>
      <c r="D105" s="13" t="n">
        <f aca="false">Params!$E$9-(Params!$D$9/Params!$B$4)*(A105/1000)</f>
        <v>-13.0231131264354</v>
      </c>
      <c r="E105" s="13" t="n">
        <f aca="false">Params!$E$10-(Params!$D$10/Params!$B$4)*(A105/1000)</f>
        <v>-12.2614980173555</v>
      </c>
      <c r="F105" s="19" t="s">
        <v>48</v>
      </c>
    </row>
    <row r="106" customFormat="false" ht="15" hidden="false" customHeight="false" outlineLevel="0" collapsed="false">
      <c r="A106" s="10" t="n">
        <v>1.99</v>
      </c>
      <c r="B106" s="15" t="n">
        <f aca="false">1000/A106</f>
        <v>502.51256281407</v>
      </c>
      <c r="C106" s="13" t="n">
        <f aca="false">Params!$E$8-(Params!$D$8/Params!$B$4)*(A106/1000)</f>
        <v>-12.2023181567196</v>
      </c>
      <c r="D106" s="13" t="n">
        <f aca="false">Params!$E$9-(Params!$D$9/Params!$B$4)*(A106/1000)</f>
        <v>-13.0561681321244</v>
      </c>
      <c r="E106" s="13" t="n">
        <f aca="false">Params!$E$10-(Params!$D$10/Params!$B$4)*(A106/1000)</f>
        <v>-12.2846424164331</v>
      </c>
      <c r="F106" s="19" t="s">
        <v>48</v>
      </c>
    </row>
    <row r="107" customFormat="false" ht="15" hidden="false" customHeight="false" outlineLevel="0" collapsed="false">
      <c r="A107" s="10" t="n">
        <v>2</v>
      </c>
      <c r="B107" s="15" t="n">
        <f aca="false">1000/A107</f>
        <v>500</v>
      </c>
      <c r="C107" s="13" t="n">
        <f aca="false">Params!$E$8-(Params!$D$8/Params!$B$4)*(A107/1000)</f>
        <v>-12.2252251273564</v>
      </c>
      <c r="D107" s="13" t="n">
        <f aca="false">Params!$E$9-(Params!$D$9/Params!$B$4)*(A107/1000)</f>
        <v>-13.0892231378135</v>
      </c>
      <c r="E107" s="13" t="n">
        <f aca="false">Params!$E$10-(Params!$D$10/Params!$B$4)*(A107/1000)</f>
        <v>-12.3077868155106</v>
      </c>
      <c r="F107" s="19" t="s">
        <v>48</v>
      </c>
    </row>
    <row r="108" customFormat="false" ht="15" hidden="false" customHeight="false" outlineLevel="0" collapsed="false">
      <c r="A108" s="10" t="n">
        <v>2.01</v>
      </c>
      <c r="B108" s="15" t="n">
        <f aca="false">1000/A108</f>
        <v>497.512437810945</v>
      </c>
      <c r="C108" s="13" t="n">
        <f aca="false">Params!$E$8-(Params!$D$8/Params!$B$4)*(A108/1000)</f>
        <v>-12.2481320979932</v>
      </c>
      <c r="D108" s="13" t="n">
        <f aca="false">Params!$E$9-(Params!$D$9/Params!$B$4)*(A108/1000)</f>
        <v>-13.1222781435026</v>
      </c>
      <c r="E108" s="13" t="n">
        <f aca="false">Params!$E$10-(Params!$D$10/Params!$B$4)*(A108/1000)</f>
        <v>-12.3309312145882</v>
      </c>
      <c r="F108" s="19" t="s">
        <v>48</v>
      </c>
    </row>
    <row r="109" customFormat="false" ht="15" hidden="false" customHeight="false" outlineLevel="0" collapsed="false">
      <c r="A109" s="10" t="n">
        <v>2.02</v>
      </c>
      <c r="B109" s="15" t="n">
        <f aca="false">1000/A109</f>
        <v>495.049504950495</v>
      </c>
      <c r="C109" s="13" t="n">
        <f aca="false">Params!$E$8-(Params!$D$8/Params!$B$4)*(A109/1000)</f>
        <v>-12.27103906863</v>
      </c>
      <c r="D109" s="13" t="n">
        <f aca="false">Params!$E$9-(Params!$D$9/Params!$B$4)*(A109/1000)</f>
        <v>-13.1553331491916</v>
      </c>
      <c r="E109" s="13" t="n">
        <f aca="false">Params!$E$10-(Params!$D$10/Params!$B$4)*(A109/1000)</f>
        <v>-12.3540756136657</v>
      </c>
      <c r="F109" s="19" t="s">
        <v>48</v>
      </c>
    </row>
    <row r="110" customFormat="false" ht="15" hidden="false" customHeight="false" outlineLevel="0" collapsed="false">
      <c r="A110" s="10" t="n">
        <v>2.03</v>
      </c>
      <c r="B110" s="15" t="n">
        <f aca="false">1000/A110</f>
        <v>492.610837438424</v>
      </c>
      <c r="C110" s="13" t="n">
        <f aca="false">Params!$E$8-(Params!$D$8/Params!$B$4)*(A110/1000)</f>
        <v>-12.2939460392668</v>
      </c>
      <c r="D110" s="13" t="n">
        <f aca="false">Params!$E$9-(Params!$D$9/Params!$B$4)*(A110/1000)</f>
        <v>-13.1883881548807</v>
      </c>
      <c r="E110" s="13" t="n">
        <f aca="false">Params!$E$10-(Params!$D$10/Params!$B$4)*(A110/1000)</f>
        <v>-12.3772200127433</v>
      </c>
      <c r="F110" s="19" t="s">
        <v>48</v>
      </c>
    </row>
    <row r="111" customFormat="false" ht="15" hidden="false" customHeight="false" outlineLevel="0" collapsed="false">
      <c r="A111" s="10" t="n">
        <v>2.04</v>
      </c>
      <c r="B111" s="15" t="n">
        <f aca="false">1000/A111</f>
        <v>490.196078431373</v>
      </c>
      <c r="C111" s="13" t="n">
        <f aca="false">Params!$E$8-(Params!$D$8/Params!$B$4)*(A111/1000)</f>
        <v>-12.3168530099036</v>
      </c>
      <c r="D111" s="13" t="n">
        <f aca="false">Params!$E$9-(Params!$D$9/Params!$B$4)*(A111/1000)</f>
        <v>-13.2214431605698</v>
      </c>
      <c r="E111" s="13" t="n">
        <f aca="false">Params!$E$10-(Params!$D$10/Params!$B$4)*(A111/1000)</f>
        <v>-12.4003644118208</v>
      </c>
      <c r="F111" s="19" t="s">
        <v>48</v>
      </c>
    </row>
    <row r="112" customFormat="false" ht="15" hidden="false" customHeight="false" outlineLevel="0" collapsed="false">
      <c r="A112" s="10" t="n">
        <v>2.05</v>
      </c>
      <c r="B112" s="15" t="n">
        <f aca="false">1000/A112</f>
        <v>487.804878048781</v>
      </c>
      <c r="C112" s="13" t="n">
        <f aca="false">Params!$E$8-(Params!$D$8/Params!$B$4)*(A112/1000)</f>
        <v>-12.3397599805403</v>
      </c>
      <c r="D112" s="13" t="n">
        <f aca="false">Params!$E$9-(Params!$D$9/Params!$B$4)*(A112/1000)</f>
        <v>-13.2544981662588</v>
      </c>
      <c r="E112" s="13" t="n">
        <f aca="false">Params!$E$10-(Params!$D$10/Params!$B$4)*(A112/1000)</f>
        <v>-12.4235088108984</v>
      </c>
      <c r="F112" s="19" t="s">
        <v>48</v>
      </c>
    </row>
    <row r="113" customFormat="false" ht="15" hidden="false" customHeight="false" outlineLevel="0" collapsed="false">
      <c r="A113" s="10" t="n">
        <v>2.06</v>
      </c>
      <c r="B113" s="15" t="n">
        <f aca="false">1000/A113</f>
        <v>485.436893203883</v>
      </c>
      <c r="C113" s="13" t="n">
        <f aca="false">Params!$E$8-(Params!$D$8/Params!$B$4)*(A113/1000)</f>
        <v>-12.3626669511771</v>
      </c>
      <c r="D113" s="13" t="n">
        <f aca="false">Params!$E$9-(Params!$D$9/Params!$B$4)*(A113/1000)</f>
        <v>-13.2875531719479</v>
      </c>
      <c r="E113" s="13" t="n">
        <f aca="false">Params!$E$10-(Params!$D$10/Params!$B$4)*(A113/1000)</f>
        <v>-12.4466532099759</v>
      </c>
      <c r="F113" s="19" t="s">
        <v>48</v>
      </c>
    </row>
    <row r="114" customFormat="false" ht="15" hidden="false" customHeight="false" outlineLevel="0" collapsed="false">
      <c r="A114" s="10" t="n">
        <v>2.07</v>
      </c>
      <c r="B114" s="15" t="n">
        <f aca="false">1000/A114</f>
        <v>483.091787439614</v>
      </c>
      <c r="C114" s="13" t="n">
        <f aca="false">Params!$E$8-(Params!$D$8/Params!$B$4)*(A114/1000)</f>
        <v>-12.3855739218139</v>
      </c>
      <c r="D114" s="13" t="n">
        <f aca="false">Params!$E$9-(Params!$D$9/Params!$B$4)*(A114/1000)</f>
        <v>-13.320608177637</v>
      </c>
      <c r="E114" s="13" t="n">
        <f aca="false">Params!$E$10-(Params!$D$10/Params!$B$4)*(A114/1000)</f>
        <v>-12.4697976090535</v>
      </c>
      <c r="F114" s="19" t="s">
        <v>48</v>
      </c>
    </row>
    <row r="115" customFormat="false" ht="15" hidden="false" customHeight="false" outlineLevel="0" collapsed="false">
      <c r="A115" s="10" t="n">
        <v>2.08</v>
      </c>
      <c r="B115" s="15" t="n">
        <f aca="false">1000/A115</f>
        <v>480.769230769231</v>
      </c>
      <c r="C115" s="13" t="n">
        <f aca="false">Params!$E$8-(Params!$D$8/Params!$B$4)*(A115/1000)</f>
        <v>-12.4084808924507</v>
      </c>
      <c r="D115" s="13" t="n">
        <f aca="false">Params!$E$9-(Params!$D$9/Params!$B$4)*(A115/1000)</f>
        <v>-13.353663183326</v>
      </c>
      <c r="E115" s="13" t="n">
        <f aca="false">Params!$E$10-(Params!$D$10/Params!$B$4)*(A115/1000)</f>
        <v>-12.492942008131</v>
      </c>
      <c r="F115" s="19" t="s">
        <v>48</v>
      </c>
    </row>
    <row r="116" customFormat="false" ht="15" hidden="false" customHeight="false" outlineLevel="0" collapsed="false">
      <c r="A116" s="10" t="n">
        <v>2.09</v>
      </c>
      <c r="B116" s="15" t="n">
        <f aca="false">1000/A116</f>
        <v>478.468899521531</v>
      </c>
      <c r="C116" s="13" t="n">
        <f aca="false">Params!$E$8-(Params!$D$8/Params!$B$4)*(A116/1000)</f>
        <v>-12.4313878630875</v>
      </c>
      <c r="D116" s="13" t="n">
        <f aca="false">Params!$E$9-(Params!$D$9/Params!$B$4)*(A116/1000)</f>
        <v>-13.3867181890151</v>
      </c>
      <c r="E116" s="13" t="n">
        <f aca="false">Params!$E$10-(Params!$D$10/Params!$B$4)*(A116/1000)</f>
        <v>-12.5160864072086</v>
      </c>
      <c r="F116" s="19" t="s">
        <v>48</v>
      </c>
    </row>
    <row r="117" customFormat="false" ht="15" hidden="false" customHeight="false" outlineLevel="0" collapsed="false">
      <c r="A117" s="10" t="n">
        <v>2.1</v>
      </c>
      <c r="B117" s="15" t="n">
        <f aca="false">1000/A117</f>
        <v>476.190476190476</v>
      </c>
      <c r="C117" s="13" t="n">
        <f aca="false">Params!$E$8-(Params!$D$8/Params!$B$4)*(A117/1000)</f>
        <v>-12.4542948337242</v>
      </c>
      <c r="D117" s="13" t="n">
        <f aca="false">Params!$E$9-(Params!$D$9/Params!$B$4)*(A117/1000)</f>
        <v>-13.4197731947042</v>
      </c>
      <c r="E117" s="13" t="n">
        <f aca="false">Params!$E$10-(Params!$D$10/Params!$B$4)*(A117/1000)</f>
        <v>-12.5392308062861</v>
      </c>
      <c r="F117" s="19" t="s">
        <v>48</v>
      </c>
    </row>
    <row r="118" customFormat="false" ht="15" hidden="false" customHeight="false" outlineLevel="0" collapsed="false">
      <c r="A118" s="10" t="n">
        <v>2.11</v>
      </c>
      <c r="B118" s="15" t="n">
        <f aca="false">1000/A118</f>
        <v>473.9336492891</v>
      </c>
      <c r="C118" s="13" t="n">
        <f aca="false">Params!$E$8-(Params!$D$8/Params!$B$4)*(A118/1000)</f>
        <v>-12.477201804361</v>
      </c>
      <c r="D118" s="13" t="n">
        <f aca="false">Params!$E$9-(Params!$D$9/Params!$B$4)*(A118/1000)</f>
        <v>-13.4528282003932</v>
      </c>
      <c r="E118" s="13" t="n">
        <f aca="false">Params!$E$10-(Params!$D$10/Params!$B$4)*(A118/1000)</f>
        <v>-12.5623752053637</v>
      </c>
      <c r="F118" s="19" t="s">
        <v>48</v>
      </c>
    </row>
    <row r="119" customFormat="false" ht="15" hidden="false" customHeight="false" outlineLevel="0" collapsed="false">
      <c r="A119" s="10" t="n">
        <v>2.12</v>
      </c>
      <c r="B119" s="15" t="n">
        <f aca="false">1000/A119</f>
        <v>471.698113207547</v>
      </c>
      <c r="C119" s="13" t="n">
        <f aca="false">Params!$E$8-(Params!$D$8/Params!$B$4)*(A119/1000)</f>
        <v>-12.5001087749978</v>
      </c>
      <c r="D119" s="13" t="n">
        <f aca="false">Params!$E$9-(Params!$D$9/Params!$B$4)*(A119/1000)</f>
        <v>-13.4858832060823</v>
      </c>
      <c r="E119" s="13" t="n">
        <f aca="false">Params!$E$10-(Params!$D$10/Params!$B$4)*(A119/1000)</f>
        <v>-12.5855196044412</v>
      </c>
      <c r="F119" s="19" t="s">
        <v>48</v>
      </c>
    </row>
    <row r="120" customFormat="false" ht="15" hidden="false" customHeight="false" outlineLevel="0" collapsed="false">
      <c r="A120" s="10" t="n">
        <v>2.13</v>
      </c>
      <c r="B120" s="15" t="n">
        <f aca="false">1000/A120</f>
        <v>469.483568075117</v>
      </c>
      <c r="C120" s="13" t="n">
        <f aca="false">Params!$E$8-(Params!$D$8/Params!$B$4)*(A120/1000)</f>
        <v>-12.5230157456346</v>
      </c>
      <c r="D120" s="13" t="n">
        <f aca="false">Params!$E$9-(Params!$D$9/Params!$B$4)*(A120/1000)</f>
        <v>-13.5189382117714</v>
      </c>
      <c r="E120" s="13" t="n">
        <f aca="false">Params!$E$10-(Params!$D$10/Params!$B$4)*(A120/1000)</f>
        <v>-12.6086640035188</v>
      </c>
      <c r="F120" s="19" t="s">
        <v>48</v>
      </c>
    </row>
    <row r="121" customFormat="false" ht="15" hidden="false" customHeight="false" outlineLevel="0" collapsed="false">
      <c r="A121" s="10" t="n">
        <v>2.14</v>
      </c>
      <c r="B121" s="15" t="n">
        <f aca="false">1000/A121</f>
        <v>467.289719626168</v>
      </c>
      <c r="C121" s="13" t="n">
        <f aca="false">Params!$E$8-(Params!$D$8/Params!$B$4)*(A121/1000)</f>
        <v>-12.5459227162714</v>
      </c>
      <c r="D121" s="13" t="n">
        <f aca="false">Params!$E$9-(Params!$D$9/Params!$B$4)*(A121/1000)</f>
        <v>-13.5519932174604</v>
      </c>
      <c r="E121" s="13" t="n">
        <f aca="false">Params!$E$10-(Params!$D$10/Params!$B$4)*(A121/1000)</f>
        <v>-12.6318084025964</v>
      </c>
      <c r="F121" s="19" t="s">
        <v>48</v>
      </c>
    </row>
    <row r="122" customFormat="false" ht="15" hidden="false" customHeight="false" outlineLevel="0" collapsed="false">
      <c r="A122" s="10" t="n">
        <v>2.15</v>
      </c>
      <c r="B122" s="15" t="n">
        <f aca="false">1000/A122</f>
        <v>465.116279069768</v>
      </c>
      <c r="C122" s="13" t="n">
        <f aca="false">Params!$E$8-(Params!$D$8/Params!$B$4)*(A122/1000)</f>
        <v>-12.5688296869082</v>
      </c>
      <c r="D122" s="13" t="n">
        <f aca="false">Params!$E$9-(Params!$D$9/Params!$B$4)*(A122/1000)</f>
        <v>-13.5850482231495</v>
      </c>
      <c r="E122" s="13" t="n">
        <f aca="false">Params!$E$10-(Params!$D$10/Params!$B$4)*(A122/1000)</f>
        <v>-12.6549528016739</v>
      </c>
      <c r="F122" s="19" t="s">
        <v>48</v>
      </c>
    </row>
    <row r="123" customFormat="false" ht="15" hidden="false" customHeight="false" outlineLevel="0" collapsed="false">
      <c r="A123" s="10" t="n">
        <v>2.16</v>
      </c>
      <c r="B123" s="15" t="n">
        <f aca="false">1000/A123</f>
        <v>462.962962962963</v>
      </c>
      <c r="C123" s="13" t="n">
        <f aca="false">Params!$E$8-(Params!$D$8/Params!$B$4)*(A123/1000)</f>
        <v>-12.5917366575449</v>
      </c>
      <c r="D123" s="13" t="n">
        <f aca="false">Params!$E$9-(Params!$D$9/Params!$B$4)*(A123/1000)</f>
        <v>-13.6181032288386</v>
      </c>
      <c r="E123" s="13" t="n">
        <f aca="false">Params!$E$10-(Params!$D$10/Params!$B$4)*(A123/1000)</f>
        <v>-12.6780972007515</v>
      </c>
      <c r="F123" s="19" t="s">
        <v>48</v>
      </c>
    </row>
    <row r="124" customFormat="false" ht="15" hidden="false" customHeight="false" outlineLevel="0" collapsed="false">
      <c r="A124" s="10" t="n">
        <v>2.17</v>
      </c>
      <c r="B124" s="15" t="n">
        <f aca="false">1000/A124</f>
        <v>460.829493087558</v>
      </c>
      <c r="C124" s="13" t="n">
        <f aca="false">Params!$E$8-(Params!$D$8/Params!$B$4)*(A124/1000)</f>
        <v>-12.6146436281817</v>
      </c>
      <c r="D124" s="13" t="n">
        <f aca="false">Params!$E$9-(Params!$D$9/Params!$B$4)*(A124/1000)</f>
        <v>-13.6511582345276</v>
      </c>
      <c r="E124" s="13" t="n">
        <f aca="false">Params!$E$10-(Params!$D$10/Params!$B$4)*(A124/1000)</f>
        <v>-12.701241599829</v>
      </c>
      <c r="F124" s="19" t="s">
        <v>48</v>
      </c>
    </row>
    <row r="125" customFormat="false" ht="15" hidden="false" customHeight="false" outlineLevel="0" collapsed="false">
      <c r="A125" s="10" t="n">
        <v>2.18</v>
      </c>
      <c r="B125" s="15" t="n">
        <f aca="false">1000/A125</f>
        <v>458.715596330275</v>
      </c>
      <c r="C125" s="13" t="n">
        <f aca="false">Params!$E$8-(Params!$D$8/Params!$B$4)*(A125/1000)</f>
        <v>-12.6375505988185</v>
      </c>
      <c r="D125" s="13" t="n">
        <f aca="false">Params!$E$9-(Params!$D$9/Params!$B$4)*(A125/1000)</f>
        <v>-13.6842132402167</v>
      </c>
      <c r="E125" s="13" t="n">
        <f aca="false">Params!$E$10-(Params!$D$10/Params!$B$4)*(A125/1000)</f>
        <v>-12.7243859989066</v>
      </c>
      <c r="F125" s="19" t="s">
        <v>48</v>
      </c>
    </row>
    <row r="126" customFormat="false" ht="15" hidden="false" customHeight="false" outlineLevel="0" collapsed="false">
      <c r="A126" s="10" t="n">
        <v>2.19</v>
      </c>
      <c r="B126" s="15" t="n">
        <f aca="false">1000/A126</f>
        <v>456.62100456621</v>
      </c>
      <c r="C126" s="13" t="n">
        <f aca="false">Params!$E$8-(Params!$D$8/Params!$B$4)*(A126/1000)</f>
        <v>-12.6604575694553</v>
      </c>
      <c r="D126" s="13" t="n">
        <f aca="false">Params!$E$9-(Params!$D$9/Params!$B$4)*(A126/1000)</f>
        <v>-13.7172682459058</v>
      </c>
      <c r="E126" s="13" t="n">
        <f aca="false">Params!$E$10-(Params!$D$10/Params!$B$4)*(A126/1000)</f>
        <v>-12.7475303979841</v>
      </c>
      <c r="F126" s="19" t="s">
        <v>48</v>
      </c>
    </row>
    <row r="127" customFormat="false" ht="15" hidden="false" customHeight="false" outlineLevel="0" collapsed="false">
      <c r="A127" s="10" t="n">
        <v>2.2</v>
      </c>
      <c r="B127" s="15" t="n">
        <f aca="false">1000/A127</f>
        <v>454.545454545455</v>
      </c>
      <c r="C127" s="13" t="n">
        <f aca="false">Params!$E$8-(Params!$D$8/Params!$B$4)*(A127/1000)</f>
        <v>-12.6833645400921</v>
      </c>
      <c r="D127" s="13" t="n">
        <f aca="false">Params!$E$9-(Params!$D$9/Params!$B$4)*(A127/1000)</f>
        <v>-13.7503232515948</v>
      </c>
      <c r="E127" s="13" t="n">
        <f aca="false">Params!$E$10-(Params!$D$10/Params!$B$4)*(A127/1000)</f>
        <v>-12.7706747970617</v>
      </c>
      <c r="F127" s="19" t="s">
        <v>48</v>
      </c>
    </row>
    <row r="128" customFormat="false" ht="15" hidden="false" customHeight="false" outlineLevel="0" collapsed="false">
      <c r="A128" s="10" t="n">
        <v>2.21</v>
      </c>
      <c r="B128" s="15" t="n">
        <f aca="false">1000/A128</f>
        <v>452.488687782805</v>
      </c>
      <c r="C128" s="13" t="n">
        <f aca="false">Params!$E$8-(Params!$D$8/Params!$B$4)*(A128/1000)</f>
        <v>-12.7062715107289</v>
      </c>
      <c r="D128" s="13" t="n">
        <f aca="false">Params!$E$9-(Params!$D$9/Params!$B$4)*(A128/1000)</f>
        <v>-13.7833782572839</v>
      </c>
      <c r="E128" s="13" t="n">
        <f aca="false">Params!$E$10-(Params!$D$10/Params!$B$4)*(A128/1000)</f>
        <v>-12.7938191961392</v>
      </c>
      <c r="F128" s="19" t="s">
        <v>48</v>
      </c>
    </row>
    <row r="129" customFormat="false" ht="15" hidden="false" customHeight="false" outlineLevel="0" collapsed="false">
      <c r="A129" s="10" t="n">
        <v>2.22</v>
      </c>
      <c r="B129" s="15" t="n">
        <f aca="false">1000/A129</f>
        <v>450.45045045045</v>
      </c>
      <c r="C129" s="13" t="n">
        <f aca="false">Params!$E$8-(Params!$D$8/Params!$B$4)*(A129/1000)</f>
        <v>-12.7291784813656</v>
      </c>
      <c r="D129" s="13" t="n">
        <f aca="false">Params!$E$9-(Params!$D$9/Params!$B$4)*(A129/1000)</f>
        <v>-13.816433262973</v>
      </c>
      <c r="E129" s="13" t="n">
        <f aca="false">Params!$E$10-(Params!$D$10/Params!$B$4)*(A129/1000)</f>
        <v>-12.8169635952168</v>
      </c>
      <c r="F129" s="19" t="s">
        <v>48</v>
      </c>
    </row>
    <row r="130" customFormat="false" ht="15" hidden="false" customHeight="false" outlineLevel="0" collapsed="false">
      <c r="A130" s="10" t="n">
        <v>2.23</v>
      </c>
      <c r="B130" s="15" t="n">
        <f aca="false">1000/A130</f>
        <v>448.430493273543</v>
      </c>
      <c r="C130" s="13" t="n">
        <f aca="false">Params!$E$8-(Params!$D$8/Params!$B$4)*(A130/1000)</f>
        <v>-12.7520854520024</v>
      </c>
      <c r="D130" s="13" t="n">
        <f aca="false">Params!$E$9-(Params!$D$9/Params!$B$4)*(A130/1000)</f>
        <v>-13.849488268662</v>
      </c>
      <c r="E130" s="13" t="n">
        <f aca="false">Params!$E$10-(Params!$D$10/Params!$B$4)*(A130/1000)</f>
        <v>-12.8401079942943</v>
      </c>
      <c r="F130" s="19" t="s">
        <v>48</v>
      </c>
    </row>
    <row r="131" customFormat="false" ht="15" hidden="false" customHeight="false" outlineLevel="0" collapsed="false">
      <c r="A131" s="10" t="n">
        <v>2.24</v>
      </c>
      <c r="B131" s="15" t="n">
        <f aca="false">1000/A131</f>
        <v>446.428571428571</v>
      </c>
      <c r="C131" s="13" t="n">
        <f aca="false">Params!$E$8-(Params!$D$8/Params!$B$4)*(A131/1000)</f>
        <v>-12.7749924226392</v>
      </c>
      <c r="D131" s="13" t="n">
        <f aca="false">Params!$E$9-(Params!$D$9/Params!$B$4)*(A131/1000)</f>
        <v>-13.8825432743511</v>
      </c>
      <c r="E131" s="13" t="n">
        <f aca="false">Params!$E$10-(Params!$D$10/Params!$B$4)*(A131/1000)</f>
        <v>-12.8632523933719</v>
      </c>
      <c r="F131" s="19" t="s">
        <v>48</v>
      </c>
    </row>
    <row r="132" customFormat="false" ht="15" hidden="false" customHeight="false" outlineLevel="0" collapsed="false">
      <c r="A132" s="10" t="n">
        <v>2.25</v>
      </c>
      <c r="B132" s="15" t="n">
        <f aca="false">1000/A132</f>
        <v>444.444444444444</v>
      </c>
      <c r="C132" s="13" t="n">
        <f aca="false">Params!$E$8-(Params!$D$8/Params!$B$4)*(A132/1000)</f>
        <v>-12.797899393276</v>
      </c>
      <c r="D132" s="13" t="n">
        <f aca="false">Params!$E$9-(Params!$D$9/Params!$B$4)*(A132/1000)</f>
        <v>-13.9155982800402</v>
      </c>
      <c r="E132" s="13" t="n">
        <f aca="false">Params!$E$10-(Params!$D$10/Params!$B$4)*(A132/1000)</f>
        <v>-12.8863967924494</v>
      </c>
      <c r="F132" s="19" t="s">
        <v>48</v>
      </c>
    </row>
    <row r="133" customFormat="false" ht="15" hidden="false" customHeight="false" outlineLevel="0" collapsed="false">
      <c r="A133" s="10" t="n">
        <v>2.26</v>
      </c>
      <c r="B133" s="15" t="n">
        <f aca="false">1000/A133</f>
        <v>442.477876106195</v>
      </c>
      <c r="C133" s="13" t="n">
        <f aca="false">Params!$E$8-(Params!$D$8/Params!$B$4)*(A133/1000)</f>
        <v>-12.8208063639128</v>
      </c>
      <c r="D133" s="13" t="n">
        <f aca="false">Params!$E$9-(Params!$D$9/Params!$B$4)*(A133/1000)</f>
        <v>-13.9486532857292</v>
      </c>
      <c r="E133" s="13" t="n">
        <f aca="false">Params!$E$10-(Params!$D$10/Params!$B$4)*(A133/1000)</f>
        <v>-12.909541191527</v>
      </c>
      <c r="F133" s="19" t="s">
        <v>48</v>
      </c>
    </row>
    <row r="134" customFormat="false" ht="15" hidden="false" customHeight="false" outlineLevel="0" collapsed="false">
      <c r="A134" s="10" t="n">
        <v>2.27</v>
      </c>
      <c r="B134" s="15" t="n">
        <f aca="false">1000/A134</f>
        <v>440.528634361233</v>
      </c>
      <c r="C134" s="13" t="n">
        <f aca="false">Params!$E$8-(Params!$D$8/Params!$B$4)*(A134/1000)</f>
        <v>-12.8437133345495</v>
      </c>
      <c r="D134" s="13" t="n">
        <f aca="false">Params!$E$9-(Params!$D$9/Params!$B$4)*(A134/1000)</f>
        <v>-13.9817082914183</v>
      </c>
      <c r="E134" s="13" t="n">
        <f aca="false">Params!$E$10-(Params!$D$10/Params!$B$4)*(A134/1000)</f>
        <v>-12.9326855906045</v>
      </c>
      <c r="F134" s="19" t="s">
        <v>48</v>
      </c>
    </row>
    <row r="135" customFormat="false" ht="15" hidden="false" customHeight="false" outlineLevel="0" collapsed="false">
      <c r="A135" s="10" t="n">
        <v>2.28</v>
      </c>
      <c r="B135" s="15" t="n">
        <f aca="false">1000/A135</f>
        <v>438.59649122807</v>
      </c>
      <c r="C135" s="13" t="n">
        <f aca="false">Params!$E$8-(Params!$D$8/Params!$B$4)*(A135/1000)</f>
        <v>-12.8666203051863</v>
      </c>
      <c r="D135" s="13" t="n">
        <f aca="false">Params!$E$9-(Params!$D$9/Params!$B$4)*(A135/1000)</f>
        <v>-14.0147632971074</v>
      </c>
      <c r="E135" s="13" t="n">
        <f aca="false">Params!$E$10-(Params!$D$10/Params!$B$4)*(A135/1000)</f>
        <v>-12.9558299896821</v>
      </c>
      <c r="F135" s="19" t="s">
        <v>48</v>
      </c>
    </row>
    <row r="136" customFormat="false" ht="15" hidden="false" customHeight="false" outlineLevel="0" collapsed="false">
      <c r="A136" s="10" t="n">
        <v>2.29</v>
      </c>
      <c r="B136" s="15" t="n">
        <f aca="false">1000/A136</f>
        <v>436.681222707424</v>
      </c>
      <c r="C136" s="13" t="n">
        <f aca="false">Params!$E$8-(Params!$D$8/Params!$B$4)*(A136/1000)</f>
        <v>-12.8895272758231</v>
      </c>
      <c r="D136" s="13" t="n">
        <f aca="false">Params!$E$9-(Params!$D$9/Params!$B$4)*(A136/1000)</f>
        <v>-14.0478183027964</v>
      </c>
      <c r="E136" s="13" t="n">
        <f aca="false">Params!$E$10-(Params!$D$10/Params!$B$4)*(A136/1000)</f>
        <v>-12.9789743887596</v>
      </c>
      <c r="F136" s="19" t="s">
        <v>48</v>
      </c>
    </row>
    <row r="137" customFormat="false" ht="15" hidden="false" customHeight="false" outlineLevel="0" collapsed="false">
      <c r="A137" s="10" t="n">
        <v>2.3</v>
      </c>
      <c r="B137" s="15" t="n">
        <f aca="false">1000/A137</f>
        <v>434.782608695652</v>
      </c>
      <c r="C137" s="13" t="n">
        <f aca="false">Params!$E$8-(Params!$D$8/Params!$B$4)*(A137/1000)</f>
        <v>-12.9124342464599</v>
      </c>
      <c r="D137" s="13" t="n">
        <f aca="false">Params!$E$9-(Params!$D$9/Params!$B$4)*(A137/1000)</f>
        <v>-14.0808733084855</v>
      </c>
      <c r="E137" s="13" t="n">
        <f aca="false">Params!$E$10-(Params!$D$10/Params!$B$4)*(A137/1000)</f>
        <v>-13.0021187878372</v>
      </c>
      <c r="F137" s="19" t="s">
        <v>48</v>
      </c>
    </row>
    <row r="138" customFormat="false" ht="15" hidden="false" customHeight="false" outlineLevel="0" collapsed="false">
      <c r="A138" s="10" t="n">
        <v>2.31</v>
      </c>
      <c r="B138" s="15" t="n">
        <f aca="false">1000/A138</f>
        <v>432.900432900433</v>
      </c>
      <c r="C138" s="13" t="n">
        <f aca="false">Params!$E$8-(Params!$D$8/Params!$B$4)*(A138/1000)</f>
        <v>-12.9353412170967</v>
      </c>
      <c r="D138" s="13" t="n">
        <f aca="false">Params!$E$9-(Params!$D$9/Params!$B$4)*(A138/1000)</f>
        <v>-14.1139283141746</v>
      </c>
      <c r="E138" s="13" t="n">
        <f aca="false">Params!$E$10-(Params!$D$10/Params!$B$4)*(A138/1000)</f>
        <v>-13.0252631869148</v>
      </c>
      <c r="F138" s="19" t="s">
        <v>48</v>
      </c>
    </row>
    <row r="139" customFormat="false" ht="15" hidden="false" customHeight="false" outlineLevel="0" collapsed="false">
      <c r="A139" s="10" t="n">
        <v>2.32</v>
      </c>
      <c r="B139" s="15" t="n">
        <f aca="false">1000/A139</f>
        <v>431.034482758621</v>
      </c>
      <c r="C139" s="13" t="n">
        <f aca="false">Params!$E$8-(Params!$D$8/Params!$B$4)*(A139/1000)</f>
        <v>-12.9582481877335</v>
      </c>
      <c r="D139" s="13" t="n">
        <f aca="false">Params!$E$9-(Params!$D$9/Params!$B$4)*(A139/1000)</f>
        <v>-14.1469833198636</v>
      </c>
      <c r="E139" s="13" t="n">
        <f aca="false">Params!$E$10-(Params!$D$10/Params!$B$4)*(A139/1000)</f>
        <v>-13.0484075859923</v>
      </c>
      <c r="F139" s="19" t="s">
        <v>48</v>
      </c>
    </row>
    <row r="140" customFormat="false" ht="15" hidden="false" customHeight="false" outlineLevel="0" collapsed="false">
      <c r="A140" s="10" t="n">
        <v>2.33</v>
      </c>
      <c r="B140" s="15" t="n">
        <f aca="false">1000/A140</f>
        <v>429.184549356223</v>
      </c>
      <c r="C140" s="13" t="n">
        <f aca="false">Params!$E$8-(Params!$D$8/Params!$B$4)*(A140/1000)</f>
        <v>-12.9811551583702</v>
      </c>
      <c r="D140" s="13" t="n">
        <f aca="false">Params!$E$9-(Params!$D$9/Params!$B$4)*(A140/1000)</f>
        <v>-14.1800383255527</v>
      </c>
      <c r="E140" s="13" t="n">
        <f aca="false">Params!$E$10-(Params!$D$10/Params!$B$4)*(A140/1000)</f>
        <v>-13.0715519850699</v>
      </c>
      <c r="F140" s="19" t="s">
        <v>48</v>
      </c>
    </row>
    <row r="141" customFormat="false" ht="15" hidden="false" customHeight="false" outlineLevel="0" collapsed="false">
      <c r="A141" s="10" t="n">
        <v>2.34</v>
      </c>
      <c r="B141" s="15" t="n">
        <f aca="false">1000/A141</f>
        <v>427.350427350427</v>
      </c>
      <c r="C141" s="13" t="n">
        <f aca="false">Params!$E$8-(Params!$D$8/Params!$B$4)*(A141/1000)</f>
        <v>-13.004062129007</v>
      </c>
      <c r="D141" s="13" t="n">
        <f aca="false">Params!$E$9-(Params!$D$9/Params!$B$4)*(A141/1000)</f>
        <v>-14.2130933312418</v>
      </c>
      <c r="E141" s="13" t="n">
        <f aca="false">Params!$E$10-(Params!$D$10/Params!$B$4)*(A141/1000)</f>
        <v>-13.0946963841474</v>
      </c>
      <c r="F141" s="19" t="s">
        <v>48</v>
      </c>
    </row>
    <row r="142" customFormat="false" ht="15" hidden="false" customHeight="false" outlineLevel="0" collapsed="false">
      <c r="A142" s="10" t="n">
        <v>2.35</v>
      </c>
      <c r="B142" s="15" t="n">
        <f aca="false">1000/A142</f>
        <v>425.531914893617</v>
      </c>
      <c r="C142" s="13" t="n">
        <f aca="false">Params!$E$8-(Params!$D$8/Params!$B$4)*(A142/1000)</f>
        <v>-13.0269690996438</v>
      </c>
      <c r="D142" s="13" t="n">
        <f aca="false">Params!$E$9-(Params!$D$9/Params!$B$4)*(A142/1000)</f>
        <v>-14.2461483369308</v>
      </c>
      <c r="E142" s="13" t="n">
        <f aca="false">Params!$E$10-(Params!$D$10/Params!$B$4)*(A142/1000)</f>
        <v>-13.117840783225</v>
      </c>
      <c r="F142" s="19" t="s">
        <v>48</v>
      </c>
    </row>
    <row r="143" customFormat="false" ht="15" hidden="false" customHeight="false" outlineLevel="0" collapsed="false">
      <c r="A143" s="10" t="n">
        <v>2.36</v>
      </c>
      <c r="B143" s="15" t="n">
        <f aca="false">1000/A143</f>
        <v>423.728813559322</v>
      </c>
      <c r="C143" s="13" t="n">
        <f aca="false">Params!$E$8-(Params!$D$8/Params!$B$4)*(A143/1000)</f>
        <v>-13.0498760702806</v>
      </c>
      <c r="D143" s="13" t="n">
        <f aca="false">Params!$E$9-(Params!$D$9/Params!$B$4)*(A143/1000)</f>
        <v>-14.2792033426199</v>
      </c>
      <c r="E143" s="13" t="n">
        <f aca="false">Params!$E$10-(Params!$D$10/Params!$B$4)*(A143/1000)</f>
        <v>-13.1409851823025</v>
      </c>
      <c r="F143" s="19" t="s">
        <v>48</v>
      </c>
    </row>
    <row r="144" customFormat="false" ht="15" hidden="false" customHeight="false" outlineLevel="0" collapsed="false">
      <c r="A144" s="10" t="n">
        <v>2.37</v>
      </c>
      <c r="B144" s="15" t="n">
        <f aca="false">1000/A144</f>
        <v>421.940928270042</v>
      </c>
      <c r="C144" s="13" t="n">
        <f aca="false">Params!$E$8-(Params!$D$8/Params!$B$4)*(A144/1000)</f>
        <v>-13.0727830409174</v>
      </c>
      <c r="D144" s="13" t="n">
        <f aca="false">Params!$E$9-(Params!$D$9/Params!$B$4)*(A144/1000)</f>
        <v>-14.312258348309</v>
      </c>
      <c r="E144" s="13" t="n">
        <f aca="false">Params!$E$10-(Params!$D$10/Params!$B$4)*(A144/1000)</f>
        <v>-13.1641295813801</v>
      </c>
      <c r="F144" s="19" t="s">
        <v>48</v>
      </c>
    </row>
    <row r="145" customFormat="false" ht="15" hidden="false" customHeight="false" outlineLevel="0" collapsed="false">
      <c r="A145" s="10" t="n">
        <v>2.38</v>
      </c>
      <c r="B145" s="15" t="n">
        <f aca="false">1000/A145</f>
        <v>420.168067226891</v>
      </c>
      <c r="C145" s="13" t="n">
        <f aca="false">Params!$E$8-(Params!$D$8/Params!$B$4)*(A145/1000)</f>
        <v>-13.0956900115541</v>
      </c>
      <c r="D145" s="13" t="n">
        <f aca="false">Params!$E$9-(Params!$D$9/Params!$B$4)*(A145/1000)</f>
        <v>-14.345313353998</v>
      </c>
      <c r="E145" s="13" t="n">
        <f aca="false">Params!$E$10-(Params!$D$10/Params!$B$4)*(A145/1000)</f>
        <v>-13.1872739804576</v>
      </c>
      <c r="F145" s="19" t="s">
        <v>48</v>
      </c>
    </row>
    <row r="146" customFormat="false" ht="15" hidden="false" customHeight="false" outlineLevel="0" collapsed="false">
      <c r="A146" s="10" t="n">
        <v>2.39</v>
      </c>
      <c r="B146" s="15" t="n">
        <f aca="false">1000/A146</f>
        <v>418.410041841004</v>
      </c>
      <c r="C146" s="13" t="n">
        <f aca="false">Params!$E$8-(Params!$D$8/Params!$B$4)*(A146/1000)</f>
        <v>-13.1185969821909</v>
      </c>
      <c r="D146" s="13" t="n">
        <f aca="false">Params!$E$9-(Params!$D$9/Params!$B$4)*(A146/1000)</f>
        <v>-14.3783683596871</v>
      </c>
      <c r="E146" s="13" t="n">
        <f aca="false">Params!$E$10-(Params!$D$10/Params!$B$4)*(A146/1000)</f>
        <v>-13.2104183795352</v>
      </c>
      <c r="F146" s="19" t="s">
        <v>48</v>
      </c>
    </row>
    <row r="147" customFormat="false" ht="15" hidden="false" customHeight="false" outlineLevel="0" collapsed="false">
      <c r="A147" s="10" t="n">
        <v>2.4</v>
      </c>
      <c r="B147" s="15" t="n">
        <f aca="false">1000/A147</f>
        <v>416.666666666667</v>
      </c>
      <c r="C147" s="13" t="n">
        <f aca="false">Params!$E$8-(Params!$D$8/Params!$B$4)*(A147/1000)</f>
        <v>-13.1415039528277</v>
      </c>
      <c r="D147" s="13" t="n">
        <f aca="false">Params!$E$9-(Params!$D$9/Params!$B$4)*(A147/1000)</f>
        <v>-14.4114233653762</v>
      </c>
      <c r="E147" s="13" t="n">
        <f aca="false">Params!$E$10-(Params!$D$10/Params!$B$4)*(A147/1000)</f>
        <v>-13.2335627786127</v>
      </c>
      <c r="F147" s="19" t="s">
        <v>48</v>
      </c>
    </row>
    <row r="148" customFormat="false" ht="15" hidden="false" customHeight="false" outlineLevel="0" collapsed="false">
      <c r="A148" s="10" t="n">
        <v>2.41</v>
      </c>
      <c r="B148" s="15" t="n">
        <f aca="false">1000/A148</f>
        <v>414.9377593361</v>
      </c>
      <c r="C148" s="13" t="n">
        <f aca="false">Params!$E$8-(Params!$D$8/Params!$B$4)*(A148/1000)</f>
        <v>-13.1644109234645</v>
      </c>
      <c r="D148" s="13" t="n">
        <f aca="false">Params!$E$9-(Params!$D$9/Params!$B$4)*(A148/1000)</f>
        <v>-14.4444783710653</v>
      </c>
      <c r="E148" s="13" t="n">
        <f aca="false">Params!$E$10-(Params!$D$10/Params!$B$4)*(A148/1000)</f>
        <v>-13.2567071776903</v>
      </c>
      <c r="F148" s="19" t="s">
        <v>48</v>
      </c>
    </row>
    <row r="149" customFormat="false" ht="15" hidden="false" customHeight="false" outlineLevel="0" collapsed="false">
      <c r="A149" s="10" t="n">
        <v>2.42</v>
      </c>
      <c r="B149" s="15" t="n">
        <f aca="false">1000/A149</f>
        <v>413.223140495868</v>
      </c>
      <c r="C149" s="13" t="n">
        <f aca="false">Params!$E$8-(Params!$D$8/Params!$B$4)*(A149/1000)</f>
        <v>-13.1873178941013</v>
      </c>
      <c r="D149" s="13" t="n">
        <f aca="false">Params!$E$9-(Params!$D$9/Params!$B$4)*(A149/1000)</f>
        <v>-14.4775333767543</v>
      </c>
      <c r="E149" s="13" t="n">
        <f aca="false">Params!$E$10-(Params!$D$10/Params!$B$4)*(A149/1000)</f>
        <v>-13.2798515767678</v>
      </c>
      <c r="F149" s="19" t="s">
        <v>48</v>
      </c>
    </row>
    <row r="150" customFormat="false" ht="15" hidden="false" customHeight="false" outlineLevel="0" collapsed="false">
      <c r="A150" s="10" t="n">
        <v>2.43</v>
      </c>
      <c r="B150" s="15" t="n">
        <f aca="false">1000/A150</f>
        <v>411.522633744856</v>
      </c>
      <c r="C150" s="13" t="n">
        <f aca="false">Params!$E$8-(Params!$D$8/Params!$B$4)*(A150/1000)</f>
        <v>-13.2102248647381</v>
      </c>
      <c r="D150" s="13" t="n">
        <f aca="false">Params!$E$9-(Params!$D$9/Params!$B$4)*(A150/1000)</f>
        <v>-14.5105883824434</v>
      </c>
      <c r="E150" s="13" t="n">
        <f aca="false">Params!$E$10-(Params!$D$10/Params!$B$4)*(A150/1000)</f>
        <v>-13.3029959758454</v>
      </c>
      <c r="F150" s="19" t="s">
        <v>48</v>
      </c>
    </row>
    <row r="151" customFormat="false" ht="15" hidden="false" customHeight="false" outlineLevel="0" collapsed="false">
      <c r="A151" s="10" t="n">
        <v>2.44</v>
      </c>
      <c r="B151" s="15" t="n">
        <f aca="false">1000/A151</f>
        <v>409.836065573771</v>
      </c>
      <c r="C151" s="13" t="n">
        <f aca="false">Params!$E$8-(Params!$D$8/Params!$B$4)*(A151/1000)</f>
        <v>-13.2331318353748</v>
      </c>
      <c r="D151" s="13" t="n">
        <f aca="false">Params!$E$9-(Params!$D$9/Params!$B$4)*(A151/1000)</f>
        <v>-14.5436433881325</v>
      </c>
      <c r="E151" s="13" t="n">
        <f aca="false">Params!$E$10-(Params!$D$10/Params!$B$4)*(A151/1000)</f>
        <v>-13.3261403749229</v>
      </c>
      <c r="F151" s="19" t="s">
        <v>48</v>
      </c>
    </row>
    <row r="152" customFormat="false" ht="15" hidden="false" customHeight="false" outlineLevel="0" collapsed="false">
      <c r="A152" s="10" t="n">
        <v>2.45</v>
      </c>
      <c r="B152" s="15" t="n">
        <f aca="false">1000/A152</f>
        <v>408.163265306122</v>
      </c>
      <c r="C152" s="13" t="n">
        <f aca="false">Params!$E$8-(Params!$D$8/Params!$B$4)*(A152/1000)</f>
        <v>-13.2560388060116</v>
      </c>
      <c r="D152" s="13" t="n">
        <f aca="false">Params!$E$9-(Params!$D$9/Params!$B$4)*(A152/1000)</f>
        <v>-14.5766983938215</v>
      </c>
      <c r="E152" s="13" t="n">
        <f aca="false">Params!$E$10-(Params!$D$10/Params!$B$4)*(A152/1000)</f>
        <v>-13.3492847740005</v>
      </c>
      <c r="F152" s="19" t="s">
        <v>48</v>
      </c>
    </row>
    <row r="153" customFormat="false" ht="15" hidden="false" customHeight="false" outlineLevel="0" collapsed="false">
      <c r="A153" s="10" t="n">
        <v>2.46</v>
      </c>
      <c r="B153" s="15" t="n">
        <f aca="false">1000/A153</f>
        <v>406.50406504065</v>
      </c>
      <c r="C153" s="13" t="n">
        <f aca="false">Params!$E$8-(Params!$D$8/Params!$B$4)*(A153/1000)</f>
        <v>-13.2789457766484</v>
      </c>
      <c r="D153" s="13" t="n">
        <f aca="false">Params!$E$9-(Params!$D$9/Params!$B$4)*(A153/1000)</f>
        <v>-14.6097533995106</v>
      </c>
      <c r="E153" s="13" t="n">
        <f aca="false">Params!$E$10-(Params!$D$10/Params!$B$4)*(A153/1000)</f>
        <v>-13.3724291730781</v>
      </c>
      <c r="F153" s="19" t="s">
        <v>48</v>
      </c>
    </row>
    <row r="154" customFormat="false" ht="15" hidden="false" customHeight="false" outlineLevel="0" collapsed="false">
      <c r="A154" s="10" t="n">
        <v>2.47</v>
      </c>
      <c r="B154" s="15" t="n">
        <f aca="false">1000/A154</f>
        <v>404.858299595142</v>
      </c>
      <c r="C154" s="13" t="n">
        <f aca="false">Params!$E$8-(Params!$D$8/Params!$B$4)*(A154/1000)</f>
        <v>-13.3018527472852</v>
      </c>
      <c r="D154" s="13" t="n">
        <f aca="false">Params!$E$9-(Params!$D$9/Params!$B$4)*(A154/1000)</f>
        <v>-14.6428084051997</v>
      </c>
      <c r="E154" s="13" t="n">
        <f aca="false">Params!$E$10-(Params!$D$10/Params!$B$4)*(A154/1000)</f>
        <v>-13.3955735721556</v>
      </c>
      <c r="F154" s="19" t="s">
        <v>48</v>
      </c>
    </row>
    <row r="155" customFormat="false" ht="15" hidden="false" customHeight="false" outlineLevel="0" collapsed="false">
      <c r="A155" s="10" t="n">
        <v>2.48</v>
      </c>
      <c r="B155" s="15" t="n">
        <f aca="false">1000/A155</f>
        <v>403.225806451613</v>
      </c>
      <c r="C155" s="13" t="n">
        <f aca="false">Params!$E$8-(Params!$D$8/Params!$B$4)*(A155/1000)</f>
        <v>-13.324759717922</v>
      </c>
      <c r="D155" s="13" t="n">
        <f aca="false">Params!$E$9-(Params!$D$9/Params!$B$4)*(A155/1000)</f>
        <v>-14.6758634108887</v>
      </c>
      <c r="E155" s="13" t="n">
        <f aca="false">Params!$E$10-(Params!$D$10/Params!$B$4)*(A155/1000)</f>
        <v>-13.4187179712332</v>
      </c>
      <c r="F155" s="19" t="s">
        <v>48</v>
      </c>
    </row>
    <row r="156" customFormat="false" ht="15" hidden="false" customHeight="false" outlineLevel="0" collapsed="false">
      <c r="A156" s="10" t="n">
        <v>2.49</v>
      </c>
      <c r="B156" s="15" t="n">
        <f aca="false">1000/A156</f>
        <v>401.606425702811</v>
      </c>
      <c r="C156" s="13" t="n">
        <f aca="false">Params!$E$8-(Params!$D$8/Params!$B$4)*(A156/1000)</f>
        <v>-13.3476666885588</v>
      </c>
      <c r="D156" s="13" t="n">
        <f aca="false">Params!$E$9-(Params!$D$9/Params!$B$4)*(A156/1000)</f>
        <v>-14.7089184165778</v>
      </c>
      <c r="E156" s="13" t="n">
        <f aca="false">Params!$E$10-(Params!$D$10/Params!$B$4)*(A156/1000)</f>
        <v>-13.4418623703107</v>
      </c>
      <c r="F156" s="19" t="s">
        <v>48</v>
      </c>
    </row>
    <row r="157" customFormat="false" ht="15" hidden="false" customHeight="false" outlineLevel="0" collapsed="false">
      <c r="A157" s="10" t="n">
        <v>2.5</v>
      </c>
      <c r="B157" s="15" t="n">
        <f aca="false">1000/A157</f>
        <v>400</v>
      </c>
      <c r="C157" s="13" t="n">
        <f aca="false">Params!$E$8-(Params!$D$8/Params!$B$4)*(A157/1000)</f>
        <v>-13.3705736591955</v>
      </c>
      <c r="D157" s="13" t="n">
        <f aca="false">Params!$E$9-(Params!$D$9/Params!$B$4)*(A157/1000)</f>
        <v>-14.7419734222669</v>
      </c>
      <c r="E157" s="13" t="n">
        <f aca="false">Params!$E$10-(Params!$D$10/Params!$B$4)*(A157/1000)</f>
        <v>-13.4650067693883</v>
      </c>
      <c r="F157" s="19" t="s">
        <v>48</v>
      </c>
    </row>
    <row r="158" customFormat="false" ht="15" hidden="false" customHeight="false" outlineLevel="0" collapsed="false">
      <c r="A158" s="10" t="n">
        <v>2.51</v>
      </c>
      <c r="B158" s="15" t="n">
        <f aca="false">1000/A158</f>
        <v>398.406374501992</v>
      </c>
      <c r="C158" s="13" t="n">
        <f aca="false">Params!$E$8-(Params!$D$8/Params!$B$4)*(A158/1000)</f>
        <v>-13.3934806298323</v>
      </c>
      <c r="D158" s="13" t="n">
        <f aca="false">Params!$E$9-(Params!$D$9/Params!$B$4)*(A158/1000)</f>
        <v>-14.7750284279559</v>
      </c>
      <c r="E158" s="13" t="n">
        <f aca="false">Params!$E$10-(Params!$D$10/Params!$B$4)*(A158/1000)</f>
        <v>-13.4881511684658</v>
      </c>
      <c r="F158" s="19" t="s">
        <v>48</v>
      </c>
    </row>
    <row r="159" customFormat="false" ht="15" hidden="false" customHeight="false" outlineLevel="0" collapsed="false">
      <c r="A159" s="10" t="n">
        <v>2.52</v>
      </c>
      <c r="B159" s="15" t="n">
        <f aca="false">1000/A159</f>
        <v>396.825396825397</v>
      </c>
      <c r="C159" s="13" t="n">
        <f aca="false">Params!$E$8-(Params!$D$8/Params!$B$4)*(A159/1000)</f>
        <v>-13.4163876004691</v>
      </c>
      <c r="D159" s="13" t="n">
        <f aca="false">Params!$E$9-(Params!$D$9/Params!$B$4)*(A159/1000)</f>
        <v>-14.808083433645</v>
      </c>
      <c r="E159" s="13" t="n">
        <f aca="false">Params!$E$10-(Params!$D$10/Params!$B$4)*(A159/1000)</f>
        <v>-13.5112955675434</v>
      </c>
      <c r="F159" s="19" t="s">
        <v>48</v>
      </c>
    </row>
    <row r="160" customFormat="false" ht="15" hidden="false" customHeight="false" outlineLevel="0" collapsed="false">
      <c r="A160" s="10" t="n">
        <v>2.53</v>
      </c>
      <c r="B160" s="15" t="n">
        <f aca="false">1000/A160</f>
        <v>395.256916996047</v>
      </c>
      <c r="C160" s="13" t="n">
        <f aca="false">Params!$E$8-(Params!$D$8/Params!$B$4)*(A160/1000)</f>
        <v>-13.4392945711059</v>
      </c>
      <c r="D160" s="13" t="n">
        <f aca="false">Params!$E$9-(Params!$D$9/Params!$B$4)*(A160/1000)</f>
        <v>-14.8411384393341</v>
      </c>
      <c r="E160" s="13" t="n">
        <f aca="false">Params!$E$10-(Params!$D$10/Params!$B$4)*(A160/1000)</f>
        <v>-13.5344399666209</v>
      </c>
      <c r="F160" s="19" t="s">
        <v>48</v>
      </c>
    </row>
    <row r="161" customFormat="false" ht="15" hidden="false" customHeight="false" outlineLevel="0" collapsed="false">
      <c r="A161" s="10" t="n">
        <v>2.54</v>
      </c>
      <c r="B161" s="15" t="n">
        <f aca="false">1000/A161</f>
        <v>393.700787401575</v>
      </c>
      <c r="C161" s="13" t="n">
        <f aca="false">Params!$E$8-(Params!$D$8/Params!$B$4)*(A161/1000)</f>
        <v>-13.4622015417427</v>
      </c>
      <c r="D161" s="13" t="n">
        <f aca="false">Params!$E$9-(Params!$D$9/Params!$B$4)*(A161/1000)</f>
        <v>-14.8741934450231</v>
      </c>
      <c r="E161" s="13" t="n">
        <f aca="false">Params!$E$10-(Params!$D$10/Params!$B$4)*(A161/1000)</f>
        <v>-13.5575843656985</v>
      </c>
      <c r="F161" s="19" t="s">
        <v>48</v>
      </c>
    </row>
    <row r="162" customFormat="false" ht="15" hidden="false" customHeight="false" outlineLevel="0" collapsed="false">
      <c r="A162" s="10" t="n">
        <v>2.55</v>
      </c>
      <c r="B162" s="15" t="n">
        <f aca="false">1000/A162</f>
        <v>392.156862745098</v>
      </c>
      <c r="C162" s="13" t="n">
        <f aca="false">Params!$E$8-(Params!$D$8/Params!$B$4)*(A162/1000)</f>
        <v>-13.4851085123794</v>
      </c>
      <c r="D162" s="13" t="n">
        <f aca="false">Params!$E$9-(Params!$D$9/Params!$B$4)*(A162/1000)</f>
        <v>-14.9072484507122</v>
      </c>
      <c r="E162" s="13" t="n">
        <f aca="false">Params!$E$10-(Params!$D$10/Params!$B$4)*(A162/1000)</f>
        <v>-13.580728764776</v>
      </c>
      <c r="F162" s="19" t="s">
        <v>48</v>
      </c>
    </row>
    <row r="163" customFormat="false" ht="15" hidden="false" customHeight="false" outlineLevel="0" collapsed="false">
      <c r="A163" s="10" t="n">
        <v>2.56</v>
      </c>
      <c r="B163" s="15" t="n">
        <f aca="false">1000/A163</f>
        <v>390.625</v>
      </c>
      <c r="C163" s="13" t="n">
        <f aca="false">Params!$E$8-(Params!$D$8/Params!$B$4)*(A163/1000)</f>
        <v>-13.5080154830162</v>
      </c>
      <c r="D163" s="13" t="n">
        <f aca="false">Params!$E$9-(Params!$D$9/Params!$B$4)*(A163/1000)</f>
        <v>-14.9403034564013</v>
      </c>
      <c r="E163" s="13" t="n">
        <f aca="false">Params!$E$10-(Params!$D$10/Params!$B$4)*(A163/1000)</f>
        <v>-13.6038731638536</v>
      </c>
      <c r="F163" s="19" t="s">
        <v>48</v>
      </c>
    </row>
    <row r="164" customFormat="false" ht="15" hidden="false" customHeight="false" outlineLevel="0" collapsed="false">
      <c r="A164" s="10" t="n">
        <v>2.57</v>
      </c>
      <c r="B164" s="15" t="n">
        <f aca="false">1000/A164</f>
        <v>389.105058365759</v>
      </c>
      <c r="C164" s="13" t="n">
        <f aca="false">Params!$E$8-(Params!$D$8/Params!$B$4)*(A164/1000)</f>
        <v>-13.530922453653</v>
      </c>
      <c r="D164" s="13" t="n">
        <f aca="false">Params!$E$9-(Params!$D$9/Params!$B$4)*(A164/1000)</f>
        <v>-14.9733584620903</v>
      </c>
      <c r="E164" s="13" t="n">
        <f aca="false">Params!$E$10-(Params!$D$10/Params!$B$4)*(A164/1000)</f>
        <v>-13.6270175629311</v>
      </c>
      <c r="F164" s="19" t="s">
        <v>48</v>
      </c>
    </row>
    <row r="165" customFormat="false" ht="15" hidden="false" customHeight="false" outlineLevel="0" collapsed="false">
      <c r="A165" s="10" t="n">
        <v>2.58</v>
      </c>
      <c r="B165" s="15" t="n">
        <f aca="false">1000/A165</f>
        <v>387.596899224806</v>
      </c>
      <c r="C165" s="13" t="n">
        <f aca="false">Params!$E$8-(Params!$D$8/Params!$B$4)*(A165/1000)</f>
        <v>-13.5538294242898</v>
      </c>
      <c r="D165" s="13" t="n">
        <f aca="false">Params!$E$9-(Params!$D$9/Params!$B$4)*(A165/1000)</f>
        <v>-15.0064134677794</v>
      </c>
      <c r="E165" s="13" t="n">
        <f aca="false">Params!$E$10-(Params!$D$10/Params!$B$4)*(A165/1000)</f>
        <v>-13.6501619620087</v>
      </c>
      <c r="F165" s="19" t="s">
        <v>48</v>
      </c>
    </row>
    <row r="166" customFormat="false" ht="15" hidden="false" customHeight="false" outlineLevel="0" collapsed="false">
      <c r="A166" s="10" t="n">
        <v>2.59</v>
      </c>
      <c r="B166" s="15" t="n">
        <f aca="false">1000/A166</f>
        <v>386.100386100386</v>
      </c>
      <c r="C166" s="13" t="n">
        <f aca="false">Params!$E$8-(Params!$D$8/Params!$B$4)*(A166/1000)</f>
        <v>-13.5767363949266</v>
      </c>
      <c r="D166" s="13" t="n">
        <f aca="false">Params!$E$9-(Params!$D$9/Params!$B$4)*(A166/1000)</f>
        <v>-15.0394684734685</v>
      </c>
      <c r="E166" s="13" t="n">
        <f aca="false">Params!$E$10-(Params!$D$10/Params!$B$4)*(A166/1000)</f>
        <v>-13.6733063610862</v>
      </c>
      <c r="F166" s="19" t="s">
        <v>48</v>
      </c>
    </row>
    <row r="167" customFormat="false" ht="15" hidden="false" customHeight="false" outlineLevel="0" collapsed="false">
      <c r="A167" s="10" t="n">
        <v>2.6</v>
      </c>
      <c r="B167" s="15" t="n">
        <f aca="false">1000/A167</f>
        <v>384.615384615385</v>
      </c>
      <c r="C167" s="13" t="n">
        <f aca="false">Params!$E$8-(Params!$D$8/Params!$B$4)*(A167/1000)</f>
        <v>-13.5996433655634</v>
      </c>
      <c r="D167" s="13" t="n">
        <f aca="false">Params!$E$9-(Params!$D$9/Params!$B$4)*(A167/1000)</f>
        <v>-15.0725234791575</v>
      </c>
      <c r="E167" s="13" t="n">
        <f aca="false">Params!$E$10-(Params!$D$10/Params!$B$4)*(A167/1000)</f>
        <v>-13.6964507601638</v>
      </c>
      <c r="F167" s="19" t="s">
        <v>48</v>
      </c>
    </row>
    <row r="168" customFormat="false" ht="15" hidden="false" customHeight="false" outlineLevel="0" collapsed="false">
      <c r="A168" s="10" t="n">
        <v>2.61</v>
      </c>
      <c r="B168" s="15" t="n">
        <f aca="false">1000/A168</f>
        <v>383.141762452107</v>
      </c>
      <c r="C168" s="13" t="n">
        <f aca="false">Params!$E$8-(Params!$D$8/Params!$B$4)*(A168/1000)</f>
        <v>-13.6225503362001</v>
      </c>
      <c r="D168" s="13" t="n">
        <f aca="false">Params!$E$9-(Params!$D$9/Params!$B$4)*(A168/1000)</f>
        <v>-15.1055784848466</v>
      </c>
      <c r="E168" s="13" t="n">
        <f aca="false">Params!$E$10-(Params!$D$10/Params!$B$4)*(A168/1000)</f>
        <v>-13.7195951592413</v>
      </c>
      <c r="F168" s="19" t="s">
        <v>48</v>
      </c>
    </row>
    <row r="169" customFormat="false" ht="15" hidden="false" customHeight="false" outlineLevel="0" collapsed="false">
      <c r="A169" s="10" t="n">
        <v>2.62</v>
      </c>
      <c r="B169" s="15" t="n">
        <f aca="false">1000/A169</f>
        <v>381.679389312977</v>
      </c>
      <c r="C169" s="13" t="n">
        <f aca="false">Params!$E$8-(Params!$D$8/Params!$B$4)*(A169/1000)</f>
        <v>-13.6454573068369</v>
      </c>
      <c r="D169" s="13" t="n">
        <f aca="false">Params!$E$9-(Params!$D$9/Params!$B$4)*(A169/1000)</f>
        <v>-15.1386334905357</v>
      </c>
      <c r="E169" s="13" t="n">
        <f aca="false">Params!$E$10-(Params!$D$10/Params!$B$4)*(A169/1000)</f>
        <v>-13.7427395583189</v>
      </c>
      <c r="F169" s="19" t="s">
        <v>48</v>
      </c>
    </row>
    <row r="170" customFormat="false" ht="15" hidden="false" customHeight="false" outlineLevel="0" collapsed="false">
      <c r="A170" s="10" t="n">
        <v>2.63</v>
      </c>
      <c r="B170" s="15" t="n">
        <f aca="false">1000/A170</f>
        <v>380.228136882129</v>
      </c>
      <c r="C170" s="13" t="n">
        <f aca="false">Params!$E$8-(Params!$D$8/Params!$B$4)*(A170/1000)</f>
        <v>-13.6683642774737</v>
      </c>
      <c r="D170" s="13" t="n">
        <f aca="false">Params!$E$9-(Params!$D$9/Params!$B$4)*(A170/1000)</f>
        <v>-15.1716884962247</v>
      </c>
      <c r="E170" s="13" t="n">
        <f aca="false">Params!$E$10-(Params!$D$10/Params!$B$4)*(A170/1000)</f>
        <v>-13.7658839573965</v>
      </c>
      <c r="F170" s="19" t="s">
        <v>48</v>
      </c>
    </row>
    <row r="171" customFormat="false" ht="15" hidden="false" customHeight="false" outlineLevel="0" collapsed="false">
      <c r="A171" s="10" t="n">
        <v>2.64</v>
      </c>
      <c r="B171" s="15" t="n">
        <f aca="false">1000/A171</f>
        <v>378.787878787879</v>
      </c>
      <c r="C171" s="13" t="n">
        <f aca="false">Params!$E$8-(Params!$D$8/Params!$B$4)*(A171/1000)</f>
        <v>-13.6912712481105</v>
      </c>
      <c r="D171" s="13" t="n">
        <f aca="false">Params!$E$9-(Params!$D$9/Params!$B$4)*(A171/1000)</f>
        <v>-15.2047435019138</v>
      </c>
      <c r="E171" s="13" t="n">
        <f aca="false">Params!$E$10-(Params!$D$10/Params!$B$4)*(A171/1000)</f>
        <v>-13.789028356474</v>
      </c>
      <c r="F171" s="19" t="s">
        <v>48</v>
      </c>
    </row>
    <row r="172" customFormat="false" ht="15" hidden="false" customHeight="false" outlineLevel="0" collapsed="false">
      <c r="A172" s="10" t="n">
        <v>2.65</v>
      </c>
      <c r="B172" s="15" t="n">
        <f aca="false">1000/A172</f>
        <v>377.358490566038</v>
      </c>
      <c r="C172" s="13" t="n">
        <f aca="false">Params!$E$8-(Params!$D$8/Params!$B$4)*(A172/1000)</f>
        <v>-13.7141782187473</v>
      </c>
      <c r="D172" s="13" t="n">
        <f aca="false">Params!$E$9-(Params!$D$9/Params!$B$4)*(A172/1000)</f>
        <v>-15.2377985076029</v>
      </c>
      <c r="E172" s="13" t="n">
        <f aca="false">Params!$E$10-(Params!$D$10/Params!$B$4)*(A172/1000)</f>
        <v>-13.8121727555516</v>
      </c>
      <c r="F172" s="19" t="s">
        <v>48</v>
      </c>
    </row>
    <row r="173" customFormat="false" ht="15" hidden="false" customHeight="false" outlineLevel="0" collapsed="false">
      <c r="A173" s="10" t="n">
        <v>2.66</v>
      </c>
      <c r="B173" s="15" t="n">
        <f aca="false">1000/A173</f>
        <v>375.93984962406</v>
      </c>
      <c r="C173" s="13" t="n">
        <f aca="false">Params!$E$8-(Params!$D$8/Params!$B$4)*(A173/1000)</f>
        <v>-13.737085189384</v>
      </c>
      <c r="D173" s="13" t="n">
        <f aca="false">Params!$E$9-(Params!$D$9/Params!$B$4)*(A173/1000)</f>
        <v>-15.2708535132919</v>
      </c>
      <c r="E173" s="13" t="n">
        <f aca="false">Params!$E$10-(Params!$D$10/Params!$B$4)*(A173/1000)</f>
        <v>-13.8353171546291</v>
      </c>
      <c r="F173" s="19" t="s">
        <v>48</v>
      </c>
    </row>
    <row r="174" customFormat="false" ht="15" hidden="false" customHeight="false" outlineLevel="0" collapsed="false">
      <c r="A174" s="10" t="n">
        <v>2.67</v>
      </c>
      <c r="B174" s="15" t="n">
        <f aca="false">1000/A174</f>
        <v>374.531835205993</v>
      </c>
      <c r="C174" s="13" t="n">
        <f aca="false">Params!$E$8-(Params!$D$8/Params!$B$4)*(A174/1000)</f>
        <v>-13.7599921600208</v>
      </c>
      <c r="D174" s="13" t="n">
        <f aca="false">Params!$E$9-(Params!$D$9/Params!$B$4)*(A174/1000)</f>
        <v>-15.303908518981</v>
      </c>
      <c r="E174" s="13" t="n">
        <f aca="false">Params!$E$10-(Params!$D$10/Params!$B$4)*(A174/1000)</f>
        <v>-13.8584615537067</v>
      </c>
      <c r="F174" s="19" t="s">
        <v>48</v>
      </c>
    </row>
    <row r="175" customFormat="false" ht="15" hidden="false" customHeight="false" outlineLevel="0" collapsed="false">
      <c r="A175" s="10" t="n">
        <v>2.68</v>
      </c>
      <c r="B175" s="15" t="n">
        <f aca="false">1000/A175</f>
        <v>373.134328358209</v>
      </c>
      <c r="C175" s="13" t="n">
        <f aca="false">Params!$E$8-(Params!$D$8/Params!$B$4)*(A175/1000)</f>
        <v>-13.7828991306576</v>
      </c>
      <c r="D175" s="13" t="n">
        <f aca="false">Params!$E$9-(Params!$D$9/Params!$B$4)*(A175/1000)</f>
        <v>-15.3369635246701</v>
      </c>
      <c r="E175" s="13" t="n">
        <f aca="false">Params!$E$10-(Params!$D$10/Params!$B$4)*(A175/1000)</f>
        <v>-13.8816059527842</v>
      </c>
      <c r="F175" s="19" t="s">
        <v>48</v>
      </c>
    </row>
    <row r="176" customFormat="false" ht="15" hidden="false" customHeight="false" outlineLevel="0" collapsed="false">
      <c r="A176" s="10" t="n">
        <v>2.69</v>
      </c>
      <c r="B176" s="15" t="n">
        <f aca="false">1000/A176</f>
        <v>371.747211895911</v>
      </c>
      <c r="C176" s="13" t="n">
        <f aca="false">Params!$E$8-(Params!$D$8/Params!$B$4)*(A176/1000)</f>
        <v>-13.8058061012944</v>
      </c>
      <c r="D176" s="13" t="n">
        <f aca="false">Params!$E$9-(Params!$D$9/Params!$B$4)*(A176/1000)</f>
        <v>-15.3700185303591</v>
      </c>
      <c r="E176" s="13" t="n">
        <f aca="false">Params!$E$10-(Params!$D$10/Params!$B$4)*(A176/1000)</f>
        <v>-13.9047503518618</v>
      </c>
      <c r="F176" s="19" t="s">
        <v>48</v>
      </c>
    </row>
    <row r="177" customFormat="false" ht="15" hidden="false" customHeight="false" outlineLevel="0" collapsed="false">
      <c r="A177" s="10" t="n">
        <v>2.7</v>
      </c>
      <c r="B177" s="15" t="n">
        <f aca="false">1000/A177</f>
        <v>370.37037037037</v>
      </c>
      <c r="C177" s="13" t="n">
        <f aca="false">Params!$E$8-(Params!$D$8/Params!$B$4)*(A177/1000)</f>
        <v>-13.8287130719312</v>
      </c>
      <c r="D177" s="13" t="n">
        <f aca="false">Params!$E$9-(Params!$D$9/Params!$B$4)*(A177/1000)</f>
        <v>-15.4030735360482</v>
      </c>
      <c r="E177" s="13" t="n">
        <f aca="false">Params!$E$10-(Params!$D$10/Params!$B$4)*(A177/1000)</f>
        <v>-13.9278947509393</v>
      </c>
      <c r="F177" s="19" t="s">
        <v>48</v>
      </c>
    </row>
    <row r="178" customFormat="false" ht="15" hidden="false" customHeight="false" outlineLevel="0" collapsed="false">
      <c r="A178" s="10" t="n">
        <v>2.71</v>
      </c>
      <c r="B178" s="15" t="n">
        <f aca="false">1000/A178</f>
        <v>369.0036900369</v>
      </c>
      <c r="C178" s="13" t="n">
        <f aca="false">Params!$E$8-(Params!$D$8/Params!$B$4)*(A178/1000)</f>
        <v>-13.851620042568</v>
      </c>
      <c r="D178" s="13" t="n">
        <f aca="false">Params!$E$9-(Params!$D$9/Params!$B$4)*(A178/1000)</f>
        <v>-15.4361285417373</v>
      </c>
      <c r="E178" s="13" t="n">
        <f aca="false">Params!$E$10-(Params!$D$10/Params!$B$4)*(A178/1000)</f>
        <v>-13.9510391500169</v>
      </c>
      <c r="F178" s="19" t="s">
        <v>48</v>
      </c>
    </row>
    <row r="179" customFormat="false" ht="15" hidden="false" customHeight="false" outlineLevel="0" collapsed="false">
      <c r="A179" s="10" t="n">
        <v>2.72</v>
      </c>
      <c r="B179" s="15" t="n">
        <f aca="false">1000/A179</f>
        <v>367.647058823529</v>
      </c>
      <c r="C179" s="13" t="n">
        <f aca="false">Params!$E$8-(Params!$D$8/Params!$B$4)*(A179/1000)</f>
        <v>-13.8745270132047</v>
      </c>
      <c r="D179" s="13" t="n">
        <f aca="false">Params!$E$9-(Params!$D$9/Params!$B$4)*(A179/1000)</f>
        <v>-15.4691835474263</v>
      </c>
      <c r="E179" s="13" t="n">
        <f aca="false">Params!$E$10-(Params!$D$10/Params!$B$4)*(A179/1000)</f>
        <v>-13.9741835490944</v>
      </c>
      <c r="F179" s="19" t="s">
        <v>48</v>
      </c>
    </row>
    <row r="180" customFormat="false" ht="15" hidden="false" customHeight="false" outlineLevel="0" collapsed="false">
      <c r="A180" s="10" t="n">
        <v>2.73</v>
      </c>
      <c r="B180" s="15" t="n">
        <f aca="false">1000/A180</f>
        <v>366.300366300366</v>
      </c>
      <c r="C180" s="13" t="n">
        <f aca="false">Params!$E$8-(Params!$D$8/Params!$B$4)*(A180/1000)</f>
        <v>-13.8974339838415</v>
      </c>
      <c r="D180" s="13" t="n">
        <f aca="false">Params!$E$9-(Params!$D$9/Params!$B$4)*(A180/1000)</f>
        <v>-15.5022385531154</v>
      </c>
      <c r="E180" s="13" t="n">
        <f aca="false">Params!$E$10-(Params!$D$10/Params!$B$4)*(A180/1000)</f>
        <v>-13.997327948172</v>
      </c>
      <c r="F180" s="19" t="s">
        <v>48</v>
      </c>
    </row>
    <row r="181" customFormat="false" ht="15" hidden="false" customHeight="false" outlineLevel="0" collapsed="false">
      <c r="A181" s="10" t="n">
        <v>2.74</v>
      </c>
      <c r="B181" s="15" t="n">
        <f aca="false">1000/A181</f>
        <v>364.963503649635</v>
      </c>
      <c r="C181" s="13" t="n">
        <f aca="false">Params!$E$8-(Params!$D$8/Params!$B$4)*(A181/1000)</f>
        <v>-13.9203409544783</v>
      </c>
      <c r="D181" s="13" t="n">
        <f aca="false">Params!$E$9-(Params!$D$9/Params!$B$4)*(A181/1000)</f>
        <v>-15.5352935588045</v>
      </c>
      <c r="E181" s="13" t="n">
        <f aca="false">Params!$E$10-(Params!$D$10/Params!$B$4)*(A181/1000)</f>
        <v>-14.0204723472495</v>
      </c>
      <c r="F181" s="19" t="s">
        <v>48</v>
      </c>
    </row>
    <row r="182" customFormat="false" ht="15" hidden="false" customHeight="false" outlineLevel="0" collapsed="false">
      <c r="A182" s="10" t="n">
        <v>2.75</v>
      </c>
      <c r="B182" s="15" t="n">
        <f aca="false">1000/A182</f>
        <v>363.636363636364</v>
      </c>
      <c r="C182" s="13" t="n">
        <f aca="false">Params!$E$8-(Params!$D$8/Params!$B$4)*(A182/1000)</f>
        <v>-13.9432479251151</v>
      </c>
      <c r="D182" s="13" t="n">
        <f aca="false">Params!$E$9-(Params!$D$9/Params!$B$4)*(A182/1000)</f>
        <v>-15.5683485644935</v>
      </c>
      <c r="E182" s="13" t="n">
        <f aca="false">Params!$E$10-(Params!$D$10/Params!$B$4)*(A182/1000)</f>
        <v>-14.0436167463271</v>
      </c>
      <c r="F182" s="19" t="s">
        <v>48</v>
      </c>
    </row>
    <row r="183" customFormat="false" ht="15" hidden="false" customHeight="false" outlineLevel="0" collapsed="false">
      <c r="A183" s="10" t="n">
        <v>2.76</v>
      </c>
      <c r="B183" s="15" t="n">
        <f aca="false">1000/A183</f>
        <v>362.31884057971</v>
      </c>
      <c r="C183" s="13" t="n">
        <f aca="false">Params!$E$8-(Params!$D$8/Params!$B$4)*(A183/1000)</f>
        <v>-13.9661548957519</v>
      </c>
      <c r="D183" s="13" t="n">
        <f aca="false">Params!$E$9-(Params!$D$9/Params!$B$4)*(A183/1000)</f>
        <v>-15.6014035701826</v>
      </c>
      <c r="E183" s="13" t="n">
        <f aca="false">Params!$E$10-(Params!$D$10/Params!$B$4)*(A183/1000)</f>
        <v>-14.0667611454046</v>
      </c>
      <c r="F183" s="19" t="s">
        <v>48</v>
      </c>
    </row>
    <row r="184" customFormat="false" ht="15" hidden="false" customHeight="false" outlineLevel="0" collapsed="false">
      <c r="A184" s="10" t="n">
        <v>2.77</v>
      </c>
      <c r="B184" s="15" t="n">
        <f aca="false">1000/A184</f>
        <v>361.01083032491</v>
      </c>
      <c r="C184" s="13" t="n">
        <f aca="false">Params!$E$8-(Params!$D$8/Params!$B$4)*(A184/1000)</f>
        <v>-13.9890618663887</v>
      </c>
      <c r="D184" s="13" t="n">
        <f aca="false">Params!$E$9-(Params!$D$9/Params!$B$4)*(A184/1000)</f>
        <v>-15.6344585758717</v>
      </c>
      <c r="E184" s="13" t="n">
        <f aca="false">Params!$E$10-(Params!$D$10/Params!$B$4)*(A184/1000)</f>
        <v>-14.0899055444822</v>
      </c>
      <c r="F184" s="19" t="s">
        <v>48</v>
      </c>
    </row>
    <row r="185" customFormat="false" ht="15" hidden="false" customHeight="false" outlineLevel="0" collapsed="false">
      <c r="A185" s="10" t="n">
        <v>2.78</v>
      </c>
      <c r="B185" s="15" t="n">
        <f aca="false">1000/A185</f>
        <v>359.712230215827</v>
      </c>
      <c r="C185" s="13" t="n">
        <f aca="false">Params!$E$8-(Params!$D$8/Params!$B$4)*(A185/1000)</f>
        <v>-14.0119688370254</v>
      </c>
      <c r="D185" s="13" t="n">
        <f aca="false">Params!$E$9-(Params!$D$9/Params!$B$4)*(A185/1000)</f>
        <v>-15.6675135815607</v>
      </c>
      <c r="E185" s="13" t="n">
        <f aca="false">Params!$E$10-(Params!$D$10/Params!$B$4)*(A185/1000)</f>
        <v>-14.1130499435597</v>
      </c>
      <c r="F185" s="19" t="s">
        <v>48</v>
      </c>
    </row>
    <row r="186" customFormat="false" ht="15" hidden="false" customHeight="false" outlineLevel="0" collapsed="false">
      <c r="A186" s="10" t="n">
        <v>2.79</v>
      </c>
      <c r="B186" s="15" t="n">
        <f aca="false">1000/A186</f>
        <v>358.4229390681</v>
      </c>
      <c r="C186" s="13" t="n">
        <f aca="false">Params!$E$8-(Params!$D$8/Params!$B$4)*(A186/1000)</f>
        <v>-14.0348758076622</v>
      </c>
      <c r="D186" s="13" t="n">
        <f aca="false">Params!$E$9-(Params!$D$9/Params!$B$4)*(A186/1000)</f>
        <v>-15.7005685872498</v>
      </c>
      <c r="E186" s="13" t="n">
        <f aca="false">Params!$E$10-(Params!$D$10/Params!$B$4)*(A186/1000)</f>
        <v>-14.1361943426373</v>
      </c>
      <c r="F186" s="19" t="s">
        <v>48</v>
      </c>
    </row>
    <row r="187" customFormat="false" ht="15" hidden="false" customHeight="false" outlineLevel="0" collapsed="false">
      <c r="A187" s="10" t="n">
        <v>2.8</v>
      </c>
      <c r="B187" s="15" t="n">
        <f aca="false">1000/A187</f>
        <v>357.142857142857</v>
      </c>
      <c r="C187" s="13" t="n">
        <f aca="false">Params!$E$8-(Params!$D$8/Params!$B$4)*(A187/1000)</f>
        <v>-14.057782778299</v>
      </c>
      <c r="D187" s="13" t="n">
        <f aca="false">Params!$E$9-(Params!$D$9/Params!$B$4)*(A187/1000)</f>
        <v>-15.7336235929389</v>
      </c>
      <c r="E187" s="13" t="n">
        <f aca="false">Params!$E$10-(Params!$D$10/Params!$B$4)*(A187/1000)</f>
        <v>-14.1593387417149</v>
      </c>
      <c r="F187" s="19" t="s">
        <v>48</v>
      </c>
    </row>
    <row r="188" customFormat="false" ht="15" hidden="false" customHeight="false" outlineLevel="0" collapsed="false">
      <c r="A188" s="10" t="n">
        <v>2.81</v>
      </c>
      <c r="B188" s="15" t="n">
        <f aca="false">1000/A188</f>
        <v>355.871886120996</v>
      </c>
      <c r="C188" s="13" t="n">
        <f aca="false">Params!$E$8-(Params!$D$8/Params!$B$4)*(A188/1000)</f>
        <v>-14.0806897489358</v>
      </c>
      <c r="D188" s="13" t="n">
        <f aca="false">Params!$E$9-(Params!$D$9/Params!$B$4)*(A188/1000)</f>
        <v>-15.7666785986279</v>
      </c>
      <c r="E188" s="13" t="n">
        <f aca="false">Params!$E$10-(Params!$D$10/Params!$B$4)*(A188/1000)</f>
        <v>-14.1824831407924</v>
      </c>
      <c r="F188" s="19" t="s">
        <v>48</v>
      </c>
    </row>
    <row r="189" customFormat="false" ht="15" hidden="false" customHeight="false" outlineLevel="0" collapsed="false">
      <c r="A189" s="10" t="n">
        <v>2.82</v>
      </c>
      <c r="B189" s="15" t="n">
        <f aca="false">1000/A189</f>
        <v>354.609929078014</v>
      </c>
      <c r="C189" s="13" t="n">
        <f aca="false">Params!$E$8-(Params!$D$8/Params!$B$4)*(A189/1000)</f>
        <v>-14.1035967195726</v>
      </c>
      <c r="D189" s="13" t="n">
        <f aca="false">Params!$E$9-(Params!$D$9/Params!$B$4)*(A189/1000)</f>
        <v>-15.799733604317</v>
      </c>
      <c r="E189" s="13" t="n">
        <f aca="false">Params!$E$10-(Params!$D$10/Params!$B$4)*(A189/1000)</f>
        <v>-14.20562753987</v>
      </c>
      <c r="F189" s="19" t="s">
        <v>48</v>
      </c>
    </row>
    <row r="190" customFormat="false" ht="15" hidden="false" customHeight="false" outlineLevel="0" collapsed="false">
      <c r="A190" s="10" t="n">
        <v>2.83</v>
      </c>
      <c r="B190" s="15" t="n">
        <f aca="false">1000/A190</f>
        <v>353.356890459364</v>
      </c>
      <c r="C190" s="13" t="n">
        <f aca="false">Params!$E$8-(Params!$D$8/Params!$B$4)*(A190/1000)</f>
        <v>-14.1265036902093</v>
      </c>
      <c r="D190" s="13" t="n">
        <f aca="false">Params!$E$9-(Params!$D$9/Params!$B$4)*(A190/1000)</f>
        <v>-15.8327886100061</v>
      </c>
      <c r="E190" s="13" t="n">
        <f aca="false">Params!$E$10-(Params!$D$10/Params!$B$4)*(A190/1000)</f>
        <v>-14.2287719389475</v>
      </c>
      <c r="F190" s="19" t="s">
        <v>48</v>
      </c>
    </row>
    <row r="191" customFormat="false" ht="15" hidden="false" customHeight="false" outlineLevel="0" collapsed="false">
      <c r="A191" s="10" t="n">
        <v>2.84</v>
      </c>
      <c r="B191" s="15" t="n">
        <f aca="false">1000/A191</f>
        <v>352.112676056338</v>
      </c>
      <c r="C191" s="13" t="n">
        <f aca="false">Params!$E$8-(Params!$D$8/Params!$B$4)*(A191/1000)</f>
        <v>-14.1494106608461</v>
      </c>
      <c r="D191" s="13" t="n">
        <f aca="false">Params!$E$9-(Params!$D$9/Params!$B$4)*(A191/1000)</f>
        <v>-15.8658436156951</v>
      </c>
      <c r="E191" s="13" t="n">
        <f aca="false">Params!$E$10-(Params!$D$10/Params!$B$4)*(A191/1000)</f>
        <v>-14.2519163380251</v>
      </c>
      <c r="F191" s="19" t="s">
        <v>48</v>
      </c>
    </row>
    <row r="192" customFormat="false" ht="15" hidden="false" customHeight="false" outlineLevel="0" collapsed="false">
      <c r="A192" s="10" t="n">
        <v>2.85</v>
      </c>
      <c r="B192" s="15" t="n">
        <f aca="false">1000/A192</f>
        <v>350.877192982456</v>
      </c>
      <c r="C192" s="13" t="n">
        <f aca="false">Params!$E$8-(Params!$D$8/Params!$B$4)*(A192/1000)</f>
        <v>-14.1723176314829</v>
      </c>
      <c r="D192" s="13" t="n">
        <f aca="false">Params!$E$9-(Params!$D$9/Params!$B$4)*(A192/1000)</f>
        <v>-15.8988986213842</v>
      </c>
      <c r="E192" s="13" t="n">
        <f aca="false">Params!$E$10-(Params!$D$10/Params!$B$4)*(A192/1000)</f>
        <v>-14.2750607371026</v>
      </c>
      <c r="F192" s="19" t="s">
        <v>48</v>
      </c>
    </row>
    <row r="193" customFormat="false" ht="15" hidden="false" customHeight="false" outlineLevel="0" collapsed="false">
      <c r="A193" s="10" t="n">
        <v>2.86</v>
      </c>
      <c r="B193" s="15" t="n">
        <f aca="false">1000/A193</f>
        <v>349.65034965035</v>
      </c>
      <c r="C193" s="13" t="n">
        <f aca="false">Params!$E$8-(Params!$D$8/Params!$B$4)*(A193/1000)</f>
        <v>-14.1952246021197</v>
      </c>
      <c r="D193" s="13" t="n">
        <f aca="false">Params!$E$9-(Params!$D$9/Params!$B$4)*(A193/1000)</f>
        <v>-15.9319536270733</v>
      </c>
      <c r="E193" s="13" t="n">
        <f aca="false">Params!$E$10-(Params!$D$10/Params!$B$4)*(A193/1000)</f>
        <v>-14.2982051361802</v>
      </c>
      <c r="F193" s="19" t="s">
        <v>48</v>
      </c>
    </row>
    <row r="194" customFormat="false" ht="15" hidden="false" customHeight="false" outlineLevel="0" collapsed="false">
      <c r="A194" s="10" t="n">
        <v>2.87</v>
      </c>
      <c r="B194" s="15" t="n">
        <f aca="false">1000/A194</f>
        <v>348.432055749129</v>
      </c>
      <c r="C194" s="13" t="n">
        <f aca="false">Params!$E$8-(Params!$D$8/Params!$B$4)*(A194/1000)</f>
        <v>-14.2181315727565</v>
      </c>
      <c r="D194" s="13" t="n">
        <f aca="false">Params!$E$9-(Params!$D$9/Params!$B$4)*(A194/1000)</f>
        <v>-15.9650086327624</v>
      </c>
      <c r="E194" s="13" t="n">
        <f aca="false">Params!$E$10-(Params!$D$10/Params!$B$4)*(A194/1000)</f>
        <v>-14.3213495352577</v>
      </c>
      <c r="F194" s="19" t="s">
        <v>48</v>
      </c>
    </row>
    <row r="195" customFormat="false" ht="15" hidden="false" customHeight="false" outlineLevel="0" collapsed="false">
      <c r="A195" s="10" t="n">
        <v>2.88</v>
      </c>
      <c r="B195" s="15" t="n">
        <f aca="false">1000/A195</f>
        <v>347.222222222222</v>
      </c>
      <c r="C195" s="13" t="n">
        <f aca="false">Params!$E$8-(Params!$D$8/Params!$B$4)*(A195/1000)</f>
        <v>-14.2410385433933</v>
      </c>
      <c r="D195" s="13" t="n">
        <f aca="false">Params!$E$9-(Params!$D$9/Params!$B$4)*(A195/1000)</f>
        <v>-15.9980636384514</v>
      </c>
      <c r="E195" s="13" t="n">
        <f aca="false">Params!$E$10-(Params!$D$10/Params!$B$4)*(A195/1000)</f>
        <v>-14.3444939343353</v>
      </c>
      <c r="F195" s="19" t="s">
        <v>48</v>
      </c>
    </row>
    <row r="196" customFormat="false" ht="15" hidden="false" customHeight="false" outlineLevel="0" collapsed="false">
      <c r="A196" s="10" t="n">
        <v>2.89</v>
      </c>
      <c r="B196" s="15" t="n">
        <f aca="false">1000/A196</f>
        <v>346.020761245675</v>
      </c>
      <c r="C196" s="13" t="n">
        <f aca="false">Params!$E$8-(Params!$D$8/Params!$B$4)*(A196/1000)</f>
        <v>-14.26394551403</v>
      </c>
      <c r="D196" s="13" t="n">
        <f aca="false">Params!$E$9-(Params!$D$9/Params!$B$4)*(A196/1000)</f>
        <v>-16.0311186441405</v>
      </c>
      <c r="E196" s="13" t="n">
        <f aca="false">Params!$E$10-(Params!$D$10/Params!$B$4)*(A196/1000)</f>
        <v>-14.3676383334128</v>
      </c>
      <c r="F196" s="19" t="s">
        <v>48</v>
      </c>
    </row>
    <row r="197" customFormat="false" ht="15" hidden="false" customHeight="false" outlineLevel="0" collapsed="false">
      <c r="A197" s="10" t="n">
        <v>2.9</v>
      </c>
      <c r="B197" s="15" t="n">
        <f aca="false">1000/A197</f>
        <v>344.827586206897</v>
      </c>
      <c r="C197" s="13" t="n">
        <f aca="false">Params!$E$8-(Params!$D$8/Params!$B$4)*(A197/1000)</f>
        <v>-14.2868524846668</v>
      </c>
      <c r="D197" s="13" t="n">
        <f aca="false">Params!$E$9-(Params!$D$9/Params!$B$4)*(A197/1000)</f>
        <v>-16.0641736498296</v>
      </c>
      <c r="E197" s="13" t="n">
        <f aca="false">Params!$E$10-(Params!$D$10/Params!$B$4)*(A197/1000)</f>
        <v>-14.3907827324904</v>
      </c>
      <c r="F197" s="19" t="s">
        <v>48</v>
      </c>
    </row>
    <row r="198" customFormat="false" ht="15" hidden="false" customHeight="false" outlineLevel="0" collapsed="false">
      <c r="A198" s="10" t="n">
        <v>2.91</v>
      </c>
      <c r="B198" s="15" t="n">
        <f aca="false">1000/A198</f>
        <v>343.642611683849</v>
      </c>
      <c r="C198" s="13" t="n">
        <f aca="false">Params!$E$8-(Params!$D$8/Params!$B$4)*(A198/1000)</f>
        <v>-14.3097594553036</v>
      </c>
      <c r="D198" s="13" t="n">
        <f aca="false">Params!$E$9-(Params!$D$9/Params!$B$4)*(A198/1000)</f>
        <v>-16.0972286555186</v>
      </c>
      <c r="E198" s="13" t="n">
        <f aca="false">Params!$E$10-(Params!$D$10/Params!$B$4)*(A198/1000)</f>
        <v>-14.4139271315679</v>
      </c>
      <c r="F198" s="19" t="s">
        <v>48</v>
      </c>
    </row>
    <row r="199" customFormat="false" ht="15" hidden="false" customHeight="false" outlineLevel="0" collapsed="false">
      <c r="A199" s="10" t="n">
        <v>2.92</v>
      </c>
      <c r="B199" s="15" t="n">
        <f aca="false">1000/A199</f>
        <v>342.465753424658</v>
      </c>
      <c r="C199" s="13" t="n">
        <f aca="false">Params!$E$8-(Params!$D$8/Params!$B$4)*(A199/1000)</f>
        <v>-14.3326664259404</v>
      </c>
      <c r="D199" s="13" t="n">
        <f aca="false">Params!$E$9-(Params!$D$9/Params!$B$4)*(A199/1000)</f>
        <v>-16.1302836612077</v>
      </c>
      <c r="E199" s="13" t="n">
        <f aca="false">Params!$E$10-(Params!$D$10/Params!$B$4)*(A199/1000)</f>
        <v>-14.4370715306455</v>
      </c>
      <c r="F199" s="19" t="s">
        <v>48</v>
      </c>
    </row>
    <row r="200" customFormat="false" ht="15" hidden="false" customHeight="false" outlineLevel="0" collapsed="false">
      <c r="A200" s="10" t="n">
        <v>2.93</v>
      </c>
      <c r="B200" s="15" t="n">
        <f aca="false">1000/A200</f>
        <v>341.296928327645</v>
      </c>
      <c r="C200" s="13" t="n">
        <f aca="false">Params!$E$8-(Params!$D$8/Params!$B$4)*(A200/1000)</f>
        <v>-14.3555733965772</v>
      </c>
      <c r="D200" s="13" t="n">
        <f aca="false">Params!$E$9-(Params!$D$9/Params!$B$4)*(A200/1000)</f>
        <v>-16.1633386668968</v>
      </c>
      <c r="E200" s="13" t="n">
        <f aca="false">Params!$E$10-(Params!$D$10/Params!$B$4)*(A200/1000)</f>
        <v>-14.460215929723</v>
      </c>
      <c r="F200" s="19" t="s">
        <v>48</v>
      </c>
    </row>
    <row r="201" customFormat="false" ht="15" hidden="false" customHeight="false" outlineLevel="0" collapsed="false">
      <c r="A201" s="10" t="n">
        <v>2.94</v>
      </c>
      <c r="B201" s="15" t="n">
        <f aca="false">1000/A201</f>
        <v>340.136054421769</v>
      </c>
      <c r="C201" s="13" t="n">
        <f aca="false">Params!$E$8-(Params!$D$8/Params!$B$4)*(A201/1000)</f>
        <v>-14.3784803672139</v>
      </c>
      <c r="D201" s="13" t="n">
        <f aca="false">Params!$E$9-(Params!$D$9/Params!$B$4)*(A201/1000)</f>
        <v>-16.1963936725858</v>
      </c>
      <c r="E201" s="13" t="n">
        <f aca="false">Params!$E$10-(Params!$D$10/Params!$B$4)*(A201/1000)</f>
        <v>-14.4833603288006</v>
      </c>
      <c r="F201" s="19" t="s">
        <v>48</v>
      </c>
    </row>
    <row r="202" customFormat="false" ht="15" hidden="false" customHeight="false" outlineLevel="0" collapsed="false">
      <c r="A202" s="10" t="n">
        <v>2.95</v>
      </c>
      <c r="B202" s="15" t="n">
        <f aca="false">1000/A202</f>
        <v>338.983050847458</v>
      </c>
      <c r="C202" s="13" t="n">
        <f aca="false">Params!$E$8-(Params!$D$8/Params!$B$4)*(A202/1000)</f>
        <v>-14.4013873378507</v>
      </c>
      <c r="D202" s="13" t="n">
        <f aca="false">Params!$E$9-(Params!$D$9/Params!$B$4)*(A202/1000)</f>
        <v>-16.2294486782749</v>
      </c>
      <c r="E202" s="13" t="n">
        <f aca="false">Params!$E$10-(Params!$D$10/Params!$B$4)*(A202/1000)</f>
        <v>-14.5065047278781</v>
      </c>
      <c r="F202" s="19" t="s">
        <v>48</v>
      </c>
    </row>
    <row r="203" customFormat="false" ht="15" hidden="false" customHeight="false" outlineLevel="0" collapsed="false">
      <c r="A203" s="10" t="n">
        <v>2.96</v>
      </c>
      <c r="B203" s="15" t="n">
        <f aca="false">1000/A203</f>
        <v>337.837837837838</v>
      </c>
      <c r="C203" s="13" t="n">
        <f aca="false">Params!$E$8-(Params!$D$8/Params!$B$4)*(A203/1000)</f>
        <v>-14.4242943084875</v>
      </c>
      <c r="D203" s="13" t="n">
        <f aca="false">Params!$E$9-(Params!$D$9/Params!$B$4)*(A203/1000)</f>
        <v>-16.262503683964</v>
      </c>
      <c r="E203" s="13" t="n">
        <f aca="false">Params!$E$10-(Params!$D$10/Params!$B$4)*(A203/1000)</f>
        <v>-14.5296491269557</v>
      </c>
      <c r="F203" s="19" t="s">
        <v>48</v>
      </c>
    </row>
    <row r="204" customFormat="false" ht="15" hidden="false" customHeight="false" outlineLevel="0" collapsed="false">
      <c r="A204" s="10" t="n">
        <v>2.97</v>
      </c>
      <c r="B204" s="15" t="n">
        <f aca="false">1000/A204</f>
        <v>336.700336700337</v>
      </c>
      <c r="C204" s="13" t="n">
        <f aca="false">Params!$E$8-(Params!$D$8/Params!$B$4)*(A204/1000)</f>
        <v>-14.4472012791243</v>
      </c>
      <c r="D204" s="13" t="n">
        <f aca="false">Params!$E$9-(Params!$D$9/Params!$B$4)*(A204/1000)</f>
        <v>-16.295558689653</v>
      </c>
      <c r="E204" s="13" t="n">
        <f aca="false">Params!$E$10-(Params!$D$10/Params!$B$4)*(A204/1000)</f>
        <v>-14.5527935260333</v>
      </c>
      <c r="F204" s="19" t="s">
        <v>48</v>
      </c>
    </row>
    <row r="205" customFormat="false" ht="15" hidden="false" customHeight="false" outlineLevel="0" collapsed="false">
      <c r="A205" s="10" t="n">
        <v>2.98</v>
      </c>
      <c r="B205" s="15" t="n">
        <f aca="false">1000/A205</f>
        <v>335.570469798658</v>
      </c>
      <c r="C205" s="13" t="n">
        <f aca="false">Params!$E$8-(Params!$D$8/Params!$B$4)*(A205/1000)</f>
        <v>-14.4701082497611</v>
      </c>
      <c r="D205" s="13" t="n">
        <f aca="false">Params!$E$9-(Params!$D$9/Params!$B$4)*(A205/1000)</f>
        <v>-16.3286136953421</v>
      </c>
      <c r="E205" s="13" t="n">
        <f aca="false">Params!$E$10-(Params!$D$10/Params!$B$4)*(A205/1000)</f>
        <v>-14.5759379251108</v>
      </c>
      <c r="F205" s="19" t="s">
        <v>48</v>
      </c>
    </row>
    <row r="206" customFormat="false" ht="15" hidden="false" customHeight="false" outlineLevel="0" collapsed="false">
      <c r="A206" s="10" t="n">
        <v>2.99</v>
      </c>
      <c r="B206" s="15" t="n">
        <f aca="false">1000/A206</f>
        <v>334.448160535117</v>
      </c>
      <c r="C206" s="13" t="n">
        <f aca="false">Params!$E$8-(Params!$D$8/Params!$B$4)*(A206/1000)</f>
        <v>-14.4930152203979</v>
      </c>
      <c r="D206" s="13" t="n">
        <f aca="false">Params!$E$9-(Params!$D$9/Params!$B$4)*(A206/1000)</f>
        <v>-16.3616687010312</v>
      </c>
      <c r="E206" s="13" t="n">
        <f aca="false">Params!$E$10-(Params!$D$10/Params!$B$4)*(A206/1000)</f>
        <v>-14.5990823241884</v>
      </c>
      <c r="F206" s="19" t="s">
        <v>48</v>
      </c>
    </row>
    <row r="207" customFormat="false" ht="15" hidden="false" customHeight="false" outlineLevel="0" collapsed="false">
      <c r="A207" s="10" t="n">
        <v>3</v>
      </c>
      <c r="B207" s="15" t="n">
        <f aca="false">1000/A207</f>
        <v>333.333333333333</v>
      </c>
      <c r="C207" s="13" t="n">
        <f aca="false">Params!$E$8-(Params!$D$8/Params!$B$4)*(A207/1000)</f>
        <v>-14.5159221910346</v>
      </c>
      <c r="D207" s="13" t="n">
        <f aca="false">Params!$E$9-(Params!$D$9/Params!$B$4)*(A207/1000)</f>
        <v>-16.3947237067202</v>
      </c>
      <c r="E207" s="13" t="n">
        <f aca="false">Params!$E$10-(Params!$D$10/Params!$B$4)*(A207/1000)</f>
        <v>-14.6222267232659</v>
      </c>
      <c r="F207" s="19" t="s">
        <v>48</v>
      </c>
    </row>
    <row r="208" customFormat="false" ht="15" hidden="false" customHeight="false" outlineLevel="0" collapsed="false">
      <c r="A208" s="10" t="n">
        <v>3.01</v>
      </c>
      <c r="B208" s="15" t="n">
        <f aca="false">1000/A208</f>
        <v>332.225913621262</v>
      </c>
      <c r="C208" s="13" t="n">
        <f aca="false">Params!$E$8-(Params!$D$8/Params!$B$4)*(A208/1000)</f>
        <v>-14.5388291616714</v>
      </c>
      <c r="D208" s="13" t="n">
        <f aca="false">Params!$E$9-(Params!$D$9/Params!$B$4)*(A208/1000)</f>
        <v>-16.4277787124093</v>
      </c>
      <c r="E208" s="13" t="n">
        <f aca="false">Params!$E$10-(Params!$D$10/Params!$B$4)*(A208/1000)</f>
        <v>-14.6453711223435</v>
      </c>
      <c r="F208" s="19" t="s">
        <v>48</v>
      </c>
    </row>
    <row r="209" customFormat="false" ht="15" hidden="false" customHeight="false" outlineLevel="0" collapsed="false">
      <c r="A209" s="10" t="n">
        <v>3.02</v>
      </c>
      <c r="B209" s="15" t="n">
        <f aca="false">1000/A209</f>
        <v>331.12582781457</v>
      </c>
      <c r="C209" s="13" t="n">
        <f aca="false">Params!$E$8-(Params!$D$8/Params!$B$4)*(A209/1000)</f>
        <v>-14.5617361323082</v>
      </c>
      <c r="D209" s="13" t="n">
        <f aca="false">Params!$E$9-(Params!$D$9/Params!$B$4)*(A209/1000)</f>
        <v>-16.4608337180984</v>
      </c>
      <c r="E209" s="13" t="n">
        <f aca="false">Params!$E$10-(Params!$D$10/Params!$B$4)*(A209/1000)</f>
        <v>-14.668515521421</v>
      </c>
      <c r="F209" s="19" t="s">
        <v>48</v>
      </c>
    </row>
    <row r="210" customFormat="false" ht="15" hidden="false" customHeight="false" outlineLevel="0" collapsed="false">
      <c r="A210" s="10" t="n">
        <v>3.03</v>
      </c>
      <c r="B210" s="15" t="n">
        <f aca="false">1000/A210</f>
        <v>330.03300330033</v>
      </c>
      <c r="C210" s="13" t="n">
        <f aca="false">Params!$E$8-(Params!$D$8/Params!$B$4)*(A210/1000)</f>
        <v>-14.584643102945</v>
      </c>
      <c r="D210" s="13" t="n">
        <f aca="false">Params!$E$9-(Params!$D$9/Params!$B$4)*(A210/1000)</f>
        <v>-16.4938887237874</v>
      </c>
      <c r="E210" s="13" t="n">
        <f aca="false">Params!$E$10-(Params!$D$10/Params!$B$4)*(A210/1000)</f>
        <v>-14.6916599204986</v>
      </c>
      <c r="F210" s="19" t="s">
        <v>48</v>
      </c>
    </row>
    <row r="211" customFormat="false" ht="15" hidden="false" customHeight="false" outlineLevel="0" collapsed="false">
      <c r="A211" s="10" t="n">
        <v>3.04</v>
      </c>
      <c r="B211" s="15" t="n">
        <f aca="false">1000/A211</f>
        <v>328.947368421053</v>
      </c>
      <c r="C211" s="13" t="n">
        <f aca="false">Params!$E$8-(Params!$D$8/Params!$B$4)*(A211/1000)</f>
        <v>-14.6075500735818</v>
      </c>
      <c r="D211" s="13" t="n">
        <f aca="false">Params!$E$9-(Params!$D$9/Params!$B$4)*(A211/1000)</f>
        <v>-16.5269437294765</v>
      </c>
      <c r="E211" s="13" t="n">
        <f aca="false">Params!$E$10-(Params!$D$10/Params!$B$4)*(A211/1000)</f>
        <v>-14.7148043195761</v>
      </c>
      <c r="F211" s="19" t="s">
        <v>48</v>
      </c>
    </row>
    <row r="212" customFormat="false" ht="15" hidden="false" customHeight="false" outlineLevel="0" collapsed="false">
      <c r="A212" s="10" t="n">
        <v>3.05</v>
      </c>
      <c r="B212" s="15" t="n">
        <f aca="false">1000/A212</f>
        <v>327.868852459016</v>
      </c>
      <c r="C212" s="13" t="n">
        <f aca="false">Params!$E$8-(Params!$D$8/Params!$B$4)*(A212/1000)</f>
        <v>-14.6304570442185</v>
      </c>
      <c r="D212" s="13" t="n">
        <f aca="false">Params!$E$9-(Params!$D$9/Params!$B$4)*(A212/1000)</f>
        <v>-16.5599987351656</v>
      </c>
      <c r="E212" s="13" t="n">
        <f aca="false">Params!$E$10-(Params!$D$10/Params!$B$4)*(A212/1000)</f>
        <v>-14.7379487186537</v>
      </c>
      <c r="F212" s="19" t="s">
        <v>48</v>
      </c>
    </row>
    <row r="213" customFormat="false" ht="15" hidden="false" customHeight="false" outlineLevel="0" collapsed="false">
      <c r="A213" s="10" t="n">
        <v>3.06</v>
      </c>
      <c r="B213" s="15" t="n">
        <f aca="false">1000/A213</f>
        <v>326.797385620915</v>
      </c>
      <c r="C213" s="13" t="n">
        <f aca="false">Params!$E$8-(Params!$D$8/Params!$B$4)*(A213/1000)</f>
        <v>-14.6533640148553</v>
      </c>
      <c r="D213" s="13" t="n">
        <f aca="false">Params!$E$9-(Params!$D$9/Params!$B$4)*(A213/1000)</f>
        <v>-16.5930537408546</v>
      </c>
      <c r="E213" s="13" t="n">
        <f aca="false">Params!$E$10-(Params!$D$10/Params!$B$4)*(A213/1000)</f>
        <v>-14.7610931177312</v>
      </c>
      <c r="F213" s="19" t="s">
        <v>48</v>
      </c>
    </row>
    <row r="214" customFormat="false" ht="15" hidden="false" customHeight="false" outlineLevel="0" collapsed="false">
      <c r="A214" s="10" t="n">
        <v>3.07</v>
      </c>
      <c r="B214" s="15" t="n">
        <f aca="false">1000/A214</f>
        <v>325.732899022801</v>
      </c>
      <c r="C214" s="13" t="n">
        <f aca="false">Params!$E$8-(Params!$D$8/Params!$B$4)*(A214/1000)</f>
        <v>-14.6762709854921</v>
      </c>
      <c r="D214" s="13" t="n">
        <f aca="false">Params!$E$9-(Params!$D$9/Params!$B$4)*(A214/1000)</f>
        <v>-16.6261087465437</v>
      </c>
      <c r="E214" s="13" t="n">
        <f aca="false">Params!$E$10-(Params!$D$10/Params!$B$4)*(A214/1000)</f>
        <v>-14.7842375168088</v>
      </c>
      <c r="F214" s="19" t="s">
        <v>48</v>
      </c>
    </row>
    <row r="215" customFormat="false" ht="15" hidden="false" customHeight="false" outlineLevel="0" collapsed="false">
      <c r="A215" s="10" t="n">
        <v>3.08</v>
      </c>
      <c r="B215" s="15" t="n">
        <f aca="false">1000/A215</f>
        <v>324.675324675325</v>
      </c>
      <c r="C215" s="13" t="n">
        <f aca="false">Params!$E$8-(Params!$D$8/Params!$B$4)*(A215/1000)</f>
        <v>-14.6991779561289</v>
      </c>
      <c r="D215" s="13" t="n">
        <f aca="false">Params!$E$9-(Params!$D$9/Params!$B$4)*(A215/1000)</f>
        <v>-16.6591637522328</v>
      </c>
      <c r="E215" s="13" t="n">
        <f aca="false">Params!$E$10-(Params!$D$10/Params!$B$4)*(A215/1000)</f>
        <v>-14.8073819158863</v>
      </c>
      <c r="F215" s="19" t="s">
        <v>48</v>
      </c>
    </row>
    <row r="216" customFormat="false" ht="15" hidden="false" customHeight="false" outlineLevel="0" collapsed="false">
      <c r="A216" s="10" t="n">
        <v>3.09</v>
      </c>
      <c r="B216" s="15" t="n">
        <f aca="false">1000/A216</f>
        <v>323.624595469256</v>
      </c>
      <c r="C216" s="13" t="n">
        <f aca="false">Params!$E$8-(Params!$D$8/Params!$B$4)*(A216/1000)</f>
        <v>-14.7220849267657</v>
      </c>
      <c r="D216" s="13" t="n">
        <f aca="false">Params!$E$9-(Params!$D$9/Params!$B$4)*(A216/1000)</f>
        <v>-16.6922187579218</v>
      </c>
      <c r="E216" s="13" t="n">
        <f aca="false">Params!$E$10-(Params!$D$10/Params!$B$4)*(A216/1000)</f>
        <v>-14.8305263149639</v>
      </c>
      <c r="F216" s="19" t="s">
        <v>48</v>
      </c>
    </row>
    <row r="217" customFormat="false" ht="15" hidden="false" customHeight="false" outlineLevel="0" collapsed="false">
      <c r="A217" s="10" t="n">
        <v>3.1</v>
      </c>
      <c r="B217" s="15" t="n">
        <f aca="false">1000/A217</f>
        <v>322.58064516129</v>
      </c>
      <c r="C217" s="13" t="n">
        <f aca="false">Params!$E$8-(Params!$D$8/Params!$B$4)*(A217/1000)</f>
        <v>-14.7449918974025</v>
      </c>
      <c r="D217" s="13" t="n">
        <f aca="false">Params!$E$9-(Params!$D$9/Params!$B$4)*(A217/1000)</f>
        <v>-16.7252737636109</v>
      </c>
      <c r="E217" s="13" t="n">
        <f aca="false">Params!$E$10-(Params!$D$10/Params!$B$4)*(A217/1000)</f>
        <v>-14.8536707140414</v>
      </c>
      <c r="F217" s="19" t="s">
        <v>48</v>
      </c>
    </row>
    <row r="218" customFormat="false" ht="15" hidden="false" customHeight="false" outlineLevel="0" collapsed="false">
      <c r="A218" s="10" t="n">
        <v>3.11</v>
      </c>
      <c r="B218" s="15" t="n">
        <f aca="false">1000/A218</f>
        <v>321.543408360129</v>
      </c>
      <c r="C218" s="13" t="n">
        <f aca="false">Params!$E$8-(Params!$D$8/Params!$B$4)*(A218/1000)</f>
        <v>-14.7678988680392</v>
      </c>
      <c r="D218" s="13" t="n">
        <f aca="false">Params!$E$9-(Params!$D$9/Params!$B$4)*(A218/1000)</f>
        <v>-16.7583287693</v>
      </c>
      <c r="E218" s="13" t="n">
        <f aca="false">Params!$E$10-(Params!$D$10/Params!$B$4)*(A218/1000)</f>
        <v>-14.876815113119</v>
      </c>
      <c r="F218" s="19" t="s">
        <v>48</v>
      </c>
    </row>
    <row r="219" customFormat="false" ht="15" hidden="false" customHeight="false" outlineLevel="0" collapsed="false">
      <c r="A219" s="10" t="n">
        <v>3.12</v>
      </c>
      <c r="B219" s="15" t="n">
        <f aca="false">1000/A219</f>
        <v>320.512820512821</v>
      </c>
      <c r="C219" s="13" t="n">
        <f aca="false">Params!$E$8-(Params!$D$8/Params!$B$4)*(A219/1000)</f>
        <v>-14.790805838676</v>
      </c>
      <c r="D219" s="13" t="n">
        <f aca="false">Params!$E$9-(Params!$D$9/Params!$B$4)*(A219/1000)</f>
        <v>-16.791383774989</v>
      </c>
      <c r="E219" s="13" t="n">
        <f aca="false">Params!$E$10-(Params!$D$10/Params!$B$4)*(A219/1000)</f>
        <v>-14.8999595121966</v>
      </c>
      <c r="F219" s="19" t="s">
        <v>48</v>
      </c>
    </row>
    <row r="220" customFormat="false" ht="15" hidden="false" customHeight="false" outlineLevel="0" collapsed="false">
      <c r="A220" s="10" t="n">
        <v>3.13</v>
      </c>
      <c r="B220" s="15" t="n">
        <f aca="false">1000/A220</f>
        <v>319.488817891374</v>
      </c>
      <c r="C220" s="13" t="n">
        <f aca="false">Params!$E$8-(Params!$D$8/Params!$B$4)*(A220/1000)</f>
        <v>-14.8137128093128</v>
      </c>
      <c r="D220" s="13" t="n">
        <f aca="false">Params!$E$9-(Params!$D$9/Params!$B$4)*(A220/1000)</f>
        <v>-16.8244387806781</v>
      </c>
      <c r="E220" s="13" t="n">
        <f aca="false">Params!$E$10-(Params!$D$10/Params!$B$4)*(A220/1000)</f>
        <v>-14.9231039112741</v>
      </c>
      <c r="F220" s="19" t="s">
        <v>48</v>
      </c>
    </row>
    <row r="221" customFormat="false" ht="15" hidden="false" customHeight="false" outlineLevel="0" collapsed="false">
      <c r="A221" s="10" t="n">
        <v>3.14</v>
      </c>
      <c r="B221" s="15" t="n">
        <f aca="false">1000/A221</f>
        <v>318.471337579618</v>
      </c>
      <c r="C221" s="13" t="n">
        <f aca="false">Params!$E$8-(Params!$D$8/Params!$B$4)*(A221/1000)</f>
        <v>-14.8366197799496</v>
      </c>
      <c r="D221" s="13" t="n">
        <f aca="false">Params!$E$9-(Params!$D$9/Params!$B$4)*(A221/1000)</f>
        <v>-16.8574937863672</v>
      </c>
      <c r="E221" s="13" t="n">
        <f aca="false">Params!$E$10-(Params!$D$10/Params!$B$4)*(A221/1000)</f>
        <v>-14.9462483103517</v>
      </c>
      <c r="F221" s="19" t="s">
        <v>48</v>
      </c>
    </row>
    <row r="222" customFormat="false" ht="15" hidden="false" customHeight="false" outlineLevel="0" collapsed="false">
      <c r="A222" s="10" t="n">
        <v>3.15</v>
      </c>
      <c r="B222" s="15" t="n">
        <f aca="false">1000/A222</f>
        <v>317.460317460317</v>
      </c>
      <c r="C222" s="13" t="n">
        <f aca="false">Params!$E$8-(Params!$D$8/Params!$B$4)*(A222/1000)</f>
        <v>-14.8595267505864</v>
      </c>
      <c r="D222" s="13" t="n">
        <f aca="false">Params!$E$9-(Params!$D$9/Params!$B$4)*(A222/1000)</f>
        <v>-16.8905487920562</v>
      </c>
      <c r="E222" s="13" t="n">
        <f aca="false">Params!$E$10-(Params!$D$10/Params!$B$4)*(A222/1000)</f>
        <v>-14.9693927094292</v>
      </c>
      <c r="F222" s="19" t="s">
        <v>48</v>
      </c>
    </row>
    <row r="223" customFormat="false" ht="15" hidden="false" customHeight="false" outlineLevel="0" collapsed="false">
      <c r="A223" s="10" t="n">
        <v>3.16</v>
      </c>
      <c r="B223" s="15" t="n">
        <f aca="false">1000/A223</f>
        <v>316.455696202532</v>
      </c>
      <c r="C223" s="13" t="n">
        <f aca="false">Params!$E$8-(Params!$D$8/Params!$B$4)*(A223/1000)</f>
        <v>-14.8824337212232</v>
      </c>
      <c r="D223" s="13" t="n">
        <f aca="false">Params!$E$9-(Params!$D$9/Params!$B$4)*(A223/1000)</f>
        <v>-16.9236037977453</v>
      </c>
      <c r="E223" s="13" t="n">
        <f aca="false">Params!$E$10-(Params!$D$10/Params!$B$4)*(A223/1000)</f>
        <v>-14.9925371085068</v>
      </c>
      <c r="F223" s="19" t="s">
        <v>48</v>
      </c>
    </row>
    <row r="224" customFormat="false" ht="15" hidden="false" customHeight="false" outlineLevel="0" collapsed="false">
      <c r="A224" s="10" t="n">
        <v>3.17</v>
      </c>
      <c r="B224" s="15" t="n">
        <f aca="false">1000/A224</f>
        <v>315.457413249211</v>
      </c>
      <c r="C224" s="13" t="n">
        <f aca="false">Params!$E$8-(Params!$D$8/Params!$B$4)*(A224/1000)</f>
        <v>-14.9053406918599</v>
      </c>
      <c r="D224" s="13" t="n">
        <f aca="false">Params!$E$9-(Params!$D$9/Params!$B$4)*(A224/1000)</f>
        <v>-16.9566588034344</v>
      </c>
      <c r="E224" s="13" t="n">
        <f aca="false">Params!$E$10-(Params!$D$10/Params!$B$4)*(A224/1000)</f>
        <v>-15.0156815075843</v>
      </c>
      <c r="F224" s="19" t="s">
        <v>48</v>
      </c>
    </row>
    <row r="225" customFormat="false" ht="15" hidden="false" customHeight="false" outlineLevel="0" collapsed="false">
      <c r="A225" s="10" t="n">
        <v>3.18</v>
      </c>
      <c r="B225" s="15" t="n">
        <f aca="false">1000/A225</f>
        <v>314.465408805031</v>
      </c>
      <c r="C225" s="13" t="n">
        <f aca="false">Params!$E$8-(Params!$D$8/Params!$B$4)*(A225/1000)</f>
        <v>-14.9282476624967</v>
      </c>
      <c r="D225" s="13" t="n">
        <f aca="false">Params!$E$9-(Params!$D$9/Params!$B$4)*(A225/1000)</f>
        <v>-16.9897138091234</v>
      </c>
      <c r="E225" s="13" t="n">
        <f aca="false">Params!$E$10-(Params!$D$10/Params!$B$4)*(A225/1000)</f>
        <v>-15.0388259066619</v>
      </c>
      <c r="F225" s="19" t="s">
        <v>48</v>
      </c>
    </row>
    <row r="226" customFormat="false" ht="15" hidden="false" customHeight="false" outlineLevel="0" collapsed="false">
      <c r="A226" s="10" t="n">
        <v>3.19</v>
      </c>
      <c r="B226" s="15" t="n">
        <f aca="false">1000/A226</f>
        <v>313.479623824451</v>
      </c>
      <c r="C226" s="13" t="n">
        <f aca="false">Params!$E$8-(Params!$D$8/Params!$B$4)*(A226/1000)</f>
        <v>-14.9511546331335</v>
      </c>
      <c r="D226" s="13" t="n">
        <f aca="false">Params!$E$9-(Params!$D$9/Params!$B$4)*(A226/1000)</f>
        <v>-17.0227688148125</v>
      </c>
      <c r="E226" s="13" t="n">
        <f aca="false">Params!$E$10-(Params!$D$10/Params!$B$4)*(A226/1000)</f>
        <v>-15.0619703057394</v>
      </c>
      <c r="F226" s="19" t="s">
        <v>48</v>
      </c>
    </row>
    <row r="227" customFormat="false" ht="15" hidden="false" customHeight="false" outlineLevel="0" collapsed="false">
      <c r="A227" s="10" t="n">
        <v>3.2</v>
      </c>
      <c r="B227" s="15" t="n">
        <f aca="false">1000/A227</f>
        <v>312.5</v>
      </c>
      <c r="C227" s="13" t="n">
        <f aca="false">Params!$E$8-(Params!$D$8/Params!$B$4)*(A227/1000)</f>
        <v>-14.9740616037703</v>
      </c>
      <c r="D227" s="13" t="n">
        <f aca="false">Params!$E$9-(Params!$D$9/Params!$B$4)*(A227/1000)</f>
        <v>-17.0558238205016</v>
      </c>
      <c r="E227" s="13" t="n">
        <f aca="false">Params!$E$10-(Params!$D$10/Params!$B$4)*(A227/1000)</f>
        <v>-15.085114704817</v>
      </c>
      <c r="F227" s="19" t="s">
        <v>48</v>
      </c>
    </row>
    <row r="228" customFormat="false" ht="15" hidden="false" customHeight="false" outlineLevel="0" collapsed="false">
      <c r="A228" s="10" t="n">
        <v>3.21</v>
      </c>
      <c r="B228" s="15" t="n">
        <f aca="false">1000/A228</f>
        <v>311.526479750779</v>
      </c>
      <c r="C228" s="13" t="n">
        <f aca="false">Params!$E$8-(Params!$D$8/Params!$B$4)*(A228/1000)</f>
        <v>-14.9969685744071</v>
      </c>
      <c r="D228" s="13" t="n">
        <f aca="false">Params!$E$9-(Params!$D$9/Params!$B$4)*(A228/1000)</f>
        <v>-17.0888788261906</v>
      </c>
      <c r="E228" s="13" t="n">
        <f aca="false">Params!$E$10-(Params!$D$10/Params!$B$4)*(A228/1000)</f>
        <v>-15.1082591038945</v>
      </c>
      <c r="F228" s="19" t="s">
        <v>48</v>
      </c>
    </row>
    <row r="229" customFormat="false" ht="15" hidden="false" customHeight="false" outlineLevel="0" collapsed="false">
      <c r="A229" s="10" t="n">
        <v>3.22</v>
      </c>
      <c r="B229" s="15" t="n">
        <f aca="false">1000/A229</f>
        <v>310.55900621118</v>
      </c>
      <c r="C229" s="13" t="n">
        <f aca="false">Params!$E$8-(Params!$D$8/Params!$B$4)*(A229/1000)</f>
        <v>-15.0198755450438</v>
      </c>
      <c r="D229" s="13" t="n">
        <f aca="false">Params!$E$9-(Params!$D$9/Params!$B$4)*(A229/1000)</f>
        <v>-17.1219338318797</v>
      </c>
      <c r="E229" s="13" t="n">
        <f aca="false">Params!$E$10-(Params!$D$10/Params!$B$4)*(A229/1000)</f>
        <v>-15.1314035029721</v>
      </c>
      <c r="F229" s="19" t="s">
        <v>48</v>
      </c>
    </row>
    <row r="230" customFormat="false" ht="15" hidden="false" customHeight="false" outlineLevel="0" collapsed="false">
      <c r="A230" s="10" t="n">
        <v>3.23</v>
      </c>
      <c r="B230" s="15" t="n">
        <f aca="false">1000/A230</f>
        <v>309.597523219814</v>
      </c>
      <c r="C230" s="13" t="n">
        <f aca="false">Params!$E$8-(Params!$D$8/Params!$B$4)*(A230/1000)</f>
        <v>-15.0427825156806</v>
      </c>
      <c r="D230" s="13" t="n">
        <f aca="false">Params!$E$9-(Params!$D$9/Params!$B$4)*(A230/1000)</f>
        <v>-17.1549888375688</v>
      </c>
      <c r="E230" s="13" t="n">
        <f aca="false">Params!$E$10-(Params!$D$10/Params!$B$4)*(A230/1000)</f>
        <v>-15.1545479020496</v>
      </c>
      <c r="F230" s="19" t="s">
        <v>48</v>
      </c>
    </row>
    <row r="231" customFormat="false" ht="15" hidden="false" customHeight="false" outlineLevel="0" collapsed="false">
      <c r="A231" s="10" t="n">
        <v>3.24</v>
      </c>
      <c r="B231" s="15" t="n">
        <f aca="false">1000/A231</f>
        <v>308.641975308642</v>
      </c>
      <c r="C231" s="13" t="n">
        <f aca="false">Params!$E$8-(Params!$D$8/Params!$B$4)*(A231/1000)</f>
        <v>-15.0656894863174</v>
      </c>
      <c r="D231" s="13" t="n">
        <f aca="false">Params!$E$9-(Params!$D$9/Params!$B$4)*(A231/1000)</f>
        <v>-17.1880438432578</v>
      </c>
      <c r="E231" s="13" t="n">
        <f aca="false">Params!$E$10-(Params!$D$10/Params!$B$4)*(A231/1000)</f>
        <v>-15.1776923011272</v>
      </c>
      <c r="F231" s="19" t="s">
        <v>48</v>
      </c>
    </row>
    <row r="232" customFormat="false" ht="15" hidden="false" customHeight="false" outlineLevel="0" collapsed="false">
      <c r="A232" s="10" t="n">
        <v>3.25</v>
      </c>
      <c r="B232" s="15" t="n">
        <f aca="false">1000/A232</f>
        <v>307.692307692308</v>
      </c>
      <c r="C232" s="13" t="n">
        <f aca="false">Params!$E$8-(Params!$D$8/Params!$B$4)*(A232/1000)</f>
        <v>-15.0885964569542</v>
      </c>
      <c r="D232" s="13" t="n">
        <f aca="false">Params!$E$9-(Params!$D$9/Params!$B$4)*(A232/1000)</f>
        <v>-17.2210988489469</v>
      </c>
      <c r="E232" s="13" t="n">
        <f aca="false">Params!$E$10-(Params!$D$10/Params!$B$4)*(A232/1000)</f>
        <v>-15.2008367002047</v>
      </c>
      <c r="F232" s="19" t="s">
        <v>48</v>
      </c>
    </row>
    <row r="233" customFormat="false" ht="15" hidden="false" customHeight="false" outlineLevel="0" collapsed="false">
      <c r="A233" s="10" t="n">
        <v>3.26</v>
      </c>
      <c r="B233" s="15" t="n">
        <f aca="false">1000/A233</f>
        <v>306.748466257669</v>
      </c>
      <c r="C233" s="13" t="n">
        <f aca="false">Params!$E$8-(Params!$D$8/Params!$B$4)*(A233/1000)</f>
        <v>-15.111503427591</v>
      </c>
      <c r="D233" s="13" t="n">
        <f aca="false">Params!$E$9-(Params!$D$9/Params!$B$4)*(A233/1000)</f>
        <v>-17.254153854636</v>
      </c>
      <c r="E233" s="13" t="n">
        <f aca="false">Params!$E$10-(Params!$D$10/Params!$B$4)*(A233/1000)</f>
        <v>-15.2239810992823</v>
      </c>
      <c r="F233" s="19" t="s">
        <v>48</v>
      </c>
    </row>
    <row r="234" customFormat="false" ht="15" hidden="false" customHeight="false" outlineLevel="0" collapsed="false">
      <c r="A234" s="10" t="n">
        <v>3.27</v>
      </c>
      <c r="B234" s="15" t="n">
        <f aca="false">1000/A234</f>
        <v>305.810397553517</v>
      </c>
      <c r="C234" s="13" t="n">
        <f aca="false">Params!$E$8-(Params!$D$8/Params!$B$4)*(A234/1000)</f>
        <v>-15.1344103982278</v>
      </c>
      <c r="D234" s="13" t="n">
        <f aca="false">Params!$E$9-(Params!$D$9/Params!$B$4)*(A234/1000)</f>
        <v>-17.287208860325</v>
      </c>
      <c r="E234" s="13" t="n">
        <f aca="false">Params!$E$10-(Params!$D$10/Params!$B$4)*(A234/1000)</f>
        <v>-15.2471254983598</v>
      </c>
      <c r="F234" s="19" t="s">
        <v>48</v>
      </c>
    </row>
    <row r="235" customFormat="false" ht="15" hidden="false" customHeight="false" outlineLevel="0" collapsed="false">
      <c r="A235" s="10" t="n">
        <v>3.28</v>
      </c>
      <c r="B235" s="15" t="n">
        <f aca="false">1000/A235</f>
        <v>304.878048780488</v>
      </c>
      <c r="C235" s="13" t="n">
        <f aca="false">Params!$E$8-(Params!$D$8/Params!$B$4)*(A235/1000)</f>
        <v>-15.1573173688645</v>
      </c>
      <c r="D235" s="13" t="n">
        <f aca="false">Params!$E$9-(Params!$D$9/Params!$B$4)*(A235/1000)</f>
        <v>-17.3202638660141</v>
      </c>
      <c r="E235" s="13" t="n">
        <f aca="false">Params!$E$10-(Params!$D$10/Params!$B$4)*(A235/1000)</f>
        <v>-15.2702698974374</v>
      </c>
      <c r="F235" s="19" t="s">
        <v>48</v>
      </c>
    </row>
    <row r="236" customFormat="false" ht="15" hidden="false" customHeight="false" outlineLevel="0" collapsed="false">
      <c r="A236" s="10" t="n">
        <v>3.29</v>
      </c>
      <c r="B236" s="15" t="n">
        <f aca="false">1000/A236</f>
        <v>303.951367781155</v>
      </c>
      <c r="C236" s="13" t="n">
        <f aca="false">Params!$E$8-(Params!$D$8/Params!$B$4)*(A236/1000)</f>
        <v>-15.1802243395013</v>
      </c>
      <c r="D236" s="13" t="n">
        <f aca="false">Params!$E$9-(Params!$D$9/Params!$B$4)*(A236/1000)</f>
        <v>-17.3533188717032</v>
      </c>
      <c r="E236" s="13" t="n">
        <f aca="false">Params!$E$10-(Params!$D$10/Params!$B$4)*(A236/1000)</f>
        <v>-15.293414296515</v>
      </c>
      <c r="F236" s="19" t="s">
        <v>48</v>
      </c>
    </row>
    <row r="237" customFormat="false" ht="15" hidden="false" customHeight="false" outlineLevel="0" collapsed="false">
      <c r="A237" s="10" t="n">
        <v>3.3</v>
      </c>
      <c r="B237" s="15" t="n">
        <f aca="false">1000/A237</f>
        <v>303.030303030303</v>
      </c>
      <c r="C237" s="13" t="n">
        <f aca="false">Params!$E$8-(Params!$D$8/Params!$B$4)*(A237/1000)</f>
        <v>-15.2031313101381</v>
      </c>
      <c r="D237" s="13" t="n">
        <f aca="false">Params!$E$9-(Params!$D$9/Params!$B$4)*(A237/1000)</f>
        <v>-17.3863738773923</v>
      </c>
      <c r="E237" s="13" t="n">
        <f aca="false">Params!$E$10-(Params!$D$10/Params!$B$4)*(A237/1000)</f>
        <v>-15.3165586955925</v>
      </c>
      <c r="F237" s="19" t="s">
        <v>48</v>
      </c>
    </row>
    <row r="238" customFormat="false" ht="15" hidden="false" customHeight="false" outlineLevel="0" collapsed="false">
      <c r="A238" s="10" t="n">
        <v>3.31</v>
      </c>
      <c r="B238" s="15" t="n">
        <f aca="false">1000/A238</f>
        <v>302.114803625378</v>
      </c>
      <c r="C238" s="13" t="n">
        <f aca="false">Params!$E$8-(Params!$D$8/Params!$B$4)*(A238/1000)</f>
        <v>-15.2260382807749</v>
      </c>
      <c r="D238" s="13" t="n">
        <f aca="false">Params!$E$9-(Params!$D$9/Params!$B$4)*(A238/1000)</f>
        <v>-17.4194288830813</v>
      </c>
      <c r="E238" s="13" t="n">
        <f aca="false">Params!$E$10-(Params!$D$10/Params!$B$4)*(A238/1000)</f>
        <v>-15.3397030946701</v>
      </c>
      <c r="F238" s="19" t="s">
        <v>48</v>
      </c>
    </row>
    <row r="239" customFormat="false" ht="15" hidden="false" customHeight="false" outlineLevel="0" collapsed="false">
      <c r="A239" s="10" t="n">
        <v>3.32</v>
      </c>
      <c r="B239" s="15" t="n">
        <f aca="false">1000/A239</f>
        <v>301.204819277108</v>
      </c>
      <c r="C239" s="13" t="n">
        <f aca="false">Params!$E$8-(Params!$D$8/Params!$B$4)*(A239/1000)</f>
        <v>-15.2489452514117</v>
      </c>
      <c r="D239" s="13" t="n">
        <f aca="false">Params!$E$9-(Params!$D$9/Params!$B$4)*(A239/1000)</f>
        <v>-17.4524838887704</v>
      </c>
      <c r="E239" s="13" t="n">
        <f aca="false">Params!$E$10-(Params!$D$10/Params!$B$4)*(A239/1000)</f>
        <v>-15.3628474937476</v>
      </c>
      <c r="F239" s="19" t="s">
        <v>48</v>
      </c>
    </row>
    <row r="240" customFormat="false" ht="15" hidden="false" customHeight="false" outlineLevel="0" collapsed="false">
      <c r="A240" s="10" t="n">
        <v>3.33</v>
      </c>
      <c r="B240" s="15" t="n">
        <f aca="false">1000/A240</f>
        <v>300.3003003003</v>
      </c>
      <c r="C240" s="13" t="n">
        <f aca="false">Params!$E$8-(Params!$D$8/Params!$B$4)*(A240/1000)</f>
        <v>-15.2718522220484</v>
      </c>
      <c r="D240" s="13" t="n">
        <f aca="false">Params!$E$9-(Params!$D$9/Params!$B$4)*(A240/1000)</f>
        <v>-17.4855388944595</v>
      </c>
      <c r="E240" s="13" t="n">
        <f aca="false">Params!$E$10-(Params!$D$10/Params!$B$4)*(A240/1000)</f>
        <v>-15.3859918928252</v>
      </c>
      <c r="F240" s="19" t="s">
        <v>48</v>
      </c>
    </row>
    <row r="241" customFormat="false" ht="15" hidden="false" customHeight="false" outlineLevel="0" collapsed="false">
      <c r="A241" s="10" t="n">
        <v>3.34</v>
      </c>
      <c r="B241" s="15" t="n">
        <f aca="false">1000/A241</f>
        <v>299.40119760479</v>
      </c>
      <c r="C241" s="13" t="n">
        <f aca="false">Params!$E$8-(Params!$D$8/Params!$B$4)*(A241/1000)</f>
        <v>-15.2947591926852</v>
      </c>
      <c r="D241" s="13" t="n">
        <f aca="false">Params!$E$9-(Params!$D$9/Params!$B$4)*(A241/1000)</f>
        <v>-17.5185939001485</v>
      </c>
      <c r="E241" s="13" t="n">
        <f aca="false">Params!$E$10-(Params!$D$10/Params!$B$4)*(A241/1000)</f>
        <v>-15.4091362919027</v>
      </c>
      <c r="F241" s="19" t="s">
        <v>48</v>
      </c>
    </row>
    <row r="243" customFormat="false" ht="15" hidden="false" customHeight="false" outlineLevel="0" collapsed="false">
      <c r="A243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6.4" hidden="false" customHeight="false" outlineLevel="0" collapsed="false">
      <c r="A1" s="20" t="s">
        <v>50</v>
      </c>
    </row>
    <row r="2" customFormat="false" ht="15" hidden="false" customHeight="false" outlineLevel="0" collapsed="false">
      <c r="A2" s="7" t="s">
        <v>51</v>
      </c>
    </row>
    <row r="3" customFormat="false" ht="15" hidden="false" customHeight="false" outlineLevel="0" collapsed="false">
      <c r="A3" s="7" t="s">
        <v>52</v>
      </c>
    </row>
    <row r="5" customFormat="false" ht="15" hidden="false" customHeight="false" outlineLevel="0" collapsed="false">
      <c r="A5" s="8" t="s">
        <v>29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17" t="s">
        <v>59</v>
      </c>
      <c r="I5" s="8" t="s">
        <v>36</v>
      </c>
    </row>
    <row r="6" customFormat="false" ht="15" hidden="false" customHeight="false" outlineLevel="0" collapsed="false">
      <c r="A6" s="9" t="s">
        <v>37</v>
      </c>
      <c r="B6" s="13" t="n">
        <f aca="false">Params!$D$8</f>
        <v>0.197397</v>
      </c>
      <c r="C6" s="21" t="n">
        <f aca="false">Params!$C$8</f>
        <v>0.032</v>
      </c>
      <c r="D6" s="22" t="n">
        <f aca="false">Params!$F$8*EXP(-B6/(Params!$B$4*Params!$B$5))</f>
        <v>2.31314430975354E-007</v>
      </c>
      <c r="E6" s="23" t="n">
        <f aca="false">1000*Params!$H$8*Params!$B$2^2*D6/(Params!$B$3*Params!$B$5)</f>
        <v>31.8252594166656</v>
      </c>
      <c r="F6" s="23" t="n">
        <f aca="false">1000*Params!$H$8*Params!$B$2^2*(Params!$F$8*EXP(-(B6+C6)/(Params!$B$4*Params!$B$5)))/(Params!$B$3*Params!$B$5)</f>
        <v>9.22987060483965</v>
      </c>
      <c r="G6" s="23" t="n">
        <f aca="false">1000*Params!$H$8*Params!$B$2^2*(Params!$F$8*EXP(-(B6-C6)/(Params!$B$4*Params!$B$5)))/(Params!$B$3*Params!$B$5)</f>
        <v>109.735789406081</v>
      </c>
      <c r="H6" s="24" t="n">
        <f aca="false">G6/F6</f>
        <v>11.889201279652</v>
      </c>
      <c r="I6" s="9" t="s">
        <v>38</v>
      </c>
    </row>
    <row r="7" customFormat="false" ht="15" hidden="false" customHeight="false" outlineLevel="0" collapsed="false">
      <c r="A7" s="9" t="s">
        <v>39</v>
      </c>
      <c r="B7" s="13" t="n">
        <f aca="false">Params!$D$9</f>
        <v>0.284846</v>
      </c>
      <c r="C7" s="21" t="n">
        <f aca="false">Params!$C$9</f>
        <v>0.024</v>
      </c>
      <c r="D7" s="22" t="n">
        <f aca="false">Params!$F$9*EXP(-B7/(Params!$B$4*Params!$B$5))</f>
        <v>2.51965884719892E-008</v>
      </c>
      <c r="E7" s="23" t="n">
        <f aca="false">1000*Params!$H$9*Params!$B$2^2*D7/(Params!$B$3*Params!$B$5)</f>
        <v>3.50101201471818</v>
      </c>
      <c r="F7" s="23" t="n">
        <f aca="false">1000*Params!$H$9*Params!$B$2^2*(Params!$F$9*EXP(-(B7+C7)/(Params!$B$4*Params!$B$5)))/(Params!$B$3*Params!$B$5)</f>
        <v>1.38360252637597</v>
      </c>
      <c r="G7" s="23" t="n">
        <f aca="false">1000*Params!$H$9*Params!$B$2^2*(Params!$F$9*EXP(-(B7-C7)/(Params!$B$4*Params!$B$5)))/(Params!$B$3*Params!$B$5)</f>
        <v>8.85881956236789</v>
      </c>
      <c r="H7" s="24" t="n">
        <f aca="false">G7/F7</f>
        <v>6.40271999616214</v>
      </c>
      <c r="I7" s="9" t="s">
        <v>38</v>
      </c>
    </row>
    <row r="8" customFormat="false" ht="15" hidden="false" customHeight="false" outlineLevel="0" collapsed="false">
      <c r="A8" s="9" t="s">
        <v>40</v>
      </c>
      <c r="B8" s="13" t="n">
        <f aca="false">Params!$D$10</f>
        <v>0.199443</v>
      </c>
      <c r="C8" s="21" t="n">
        <f aca="false">Params!$C$10</f>
        <v>0.034</v>
      </c>
      <c r="D8" s="22" t="n">
        <f aca="false">Params!$F$10*EXP(-B8/(Params!$B$4*Params!$B$5))</f>
        <v>2.06346984883317E-007</v>
      </c>
      <c r="E8" s="23" t="n">
        <f aca="false">1000*Params!$H$10*Params!$B$2^2*D8/(Params!$B$3*Params!$B$5)</f>
        <v>30.4490517905906</v>
      </c>
      <c r="F8" s="23" t="n">
        <f aca="false">1000*Params!$H$10*Params!$B$2^2*(Params!$F$10*EXP(-(B8+C8)/(Params!$B$4*Params!$B$5)))/(Params!$B$3*Params!$B$5)</f>
        <v>8.17332770129208</v>
      </c>
      <c r="G8" s="23" t="n">
        <f aca="false">1000*Params!$H$10*Params!$B$2^2*(Params!$F$10*EXP(-(B8-C8)/(Params!$B$4*Params!$B$5)))/(Params!$B$3*Params!$B$5)</f>
        <v>113.435407074098</v>
      </c>
      <c r="H8" s="24" t="n">
        <f aca="false">G8/F8</f>
        <v>13.8787298417223</v>
      </c>
      <c r="I8" s="16" t="s">
        <v>41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60</v>
      </c>
    </row>
    <row r="12" customFormat="false" ht="15" hidden="false" customHeight="false" outlineLevel="0" collapsed="false">
      <c r="A12" s="5" t="s">
        <v>61</v>
      </c>
    </row>
    <row r="13" customFormat="false" ht="15" hidden="false" customHeight="false" outlineLevel="0" collapsed="false">
      <c r="A13" s="7" t="s">
        <v>62</v>
      </c>
    </row>
    <row r="14" customFormat="false" ht="15" hidden="false" customHeight="false" outlineLevel="0" collapsed="false">
      <c r="A14" s="5" t="s">
        <v>63</v>
      </c>
    </row>
    <row r="15" customFormat="false" ht="15" hidden="false" customHeight="false" outlineLevel="0" collapsed="false">
      <c r="A15" s="7" t="s">
        <v>64</v>
      </c>
    </row>
    <row r="16" customFormat="false" ht="15" hidden="false" customHeight="false" outlineLevel="0" collapsed="false">
      <c r="A16" s="5" t="s">
        <v>65</v>
      </c>
    </row>
    <row r="17" customFormat="false" ht="15" hidden="false" customHeight="false" outlineLevel="0" collapsed="false">
      <c r="A17" s="7" t="s">
        <v>66</v>
      </c>
    </row>
    <row r="18" customFormat="false" ht="15" hidden="false" customHeight="false" outlineLevel="0" collapsed="false">
      <c r="A18" s="5" t="s">
        <v>67</v>
      </c>
    </row>
    <row r="19" customFormat="false" ht="15" hidden="false" customHeight="false" outlineLevel="0" collapsed="false">
      <c r="A19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3" t="s">
        <v>69</v>
      </c>
    </row>
    <row r="2" customFormat="false" ht="15" hidden="false" customHeight="false" outlineLevel="0" collapsed="false">
      <c r="A2" s="2" t="s">
        <v>70</v>
      </c>
      <c r="B2" s="25" t="n">
        <v>1.602176634E-019</v>
      </c>
    </row>
    <row r="3" customFormat="false" ht="15" hidden="false" customHeight="false" outlineLevel="0" collapsed="false">
      <c r="A3" s="2" t="s">
        <v>71</v>
      </c>
      <c r="B3" s="25" t="n">
        <v>1.380649E-023</v>
      </c>
    </row>
    <row r="4" customFormat="false" ht="15" hidden="false" customHeight="false" outlineLevel="0" collapsed="false">
      <c r="A4" s="2" t="s">
        <v>72</v>
      </c>
      <c r="B4" s="25" t="n">
        <v>8.617333262E-005</v>
      </c>
    </row>
    <row r="5" customFormat="false" ht="15" hidden="false" customHeight="false" outlineLevel="0" collapsed="false">
      <c r="A5" s="2" t="s">
        <v>73</v>
      </c>
      <c r="B5" s="26" t="n">
        <v>300</v>
      </c>
    </row>
    <row r="7" customFormat="false" ht="25.35" hidden="false" customHeight="false" outlineLevel="0" collapsed="false">
      <c r="A7" s="8" t="s">
        <v>29</v>
      </c>
      <c r="B7" s="8" t="s">
        <v>74</v>
      </c>
      <c r="C7" s="8" t="s">
        <v>54</v>
      </c>
      <c r="D7" s="8" t="s">
        <v>75</v>
      </c>
      <c r="E7" s="8" t="s">
        <v>76</v>
      </c>
      <c r="F7" s="8" t="s">
        <v>77</v>
      </c>
      <c r="G7" s="8" t="s">
        <v>78</v>
      </c>
      <c r="H7" s="8" t="s">
        <v>34</v>
      </c>
      <c r="I7" s="8" t="s">
        <v>36</v>
      </c>
    </row>
    <row r="8" customFormat="false" ht="15" hidden="false" customHeight="false" outlineLevel="0" collapsed="false">
      <c r="A8" s="9" t="s">
        <v>37</v>
      </c>
      <c r="B8" s="10" t="n">
        <v>0.197</v>
      </c>
      <c r="C8" s="10" t="n">
        <v>0.032</v>
      </c>
      <c r="D8" s="10" t="n">
        <v>0.197397</v>
      </c>
      <c r="E8" s="10" t="n">
        <v>-7.643831</v>
      </c>
      <c r="F8" s="22" t="n">
        <f aca="false">EXP(E8)</f>
        <v>0.000478989922211075</v>
      </c>
      <c r="G8" s="9" t="n">
        <v>0.99796</v>
      </c>
      <c r="H8" s="14" t="n">
        <v>2.22E+022</v>
      </c>
      <c r="I8" s="9" t="s">
        <v>38</v>
      </c>
    </row>
    <row r="9" customFormat="false" ht="15" hidden="false" customHeight="false" outlineLevel="0" collapsed="false">
      <c r="A9" s="9" t="s">
        <v>39</v>
      </c>
      <c r="B9" s="10" t="n">
        <v>0.287</v>
      </c>
      <c r="C9" s="10" t="n">
        <v>0.024</v>
      </c>
      <c r="D9" s="10" t="n">
        <v>0.284846</v>
      </c>
      <c r="E9" s="10" t="n">
        <v>-6.478222</v>
      </c>
      <c r="F9" s="22" t="n">
        <f aca="false">EXP(E9)</f>
        <v>0.00153654022055539</v>
      </c>
      <c r="G9" s="9" t="n">
        <v>0.99974</v>
      </c>
      <c r="H9" s="14" t="n">
        <v>2.242E+022</v>
      </c>
      <c r="I9" s="9" t="s">
        <v>38</v>
      </c>
    </row>
    <row r="10" customFormat="false" ht="15" hidden="false" customHeight="false" outlineLevel="0" collapsed="false">
      <c r="A10" s="9" t="s">
        <v>40</v>
      </c>
      <c r="B10" s="10" t="n">
        <v>0.199</v>
      </c>
      <c r="C10" s="10" t="n">
        <v>0.034</v>
      </c>
      <c r="D10" s="10" t="n">
        <v>0.199443</v>
      </c>
      <c r="E10" s="10" t="n">
        <v>-7.678907</v>
      </c>
      <c r="F10" s="22" t="n">
        <f aca="false">EXP(E10)</f>
        <v>0.00046248011339551</v>
      </c>
      <c r="G10" s="9" t="n">
        <v>0.96507</v>
      </c>
      <c r="H10" s="14" t="n">
        <v>2.381E+022</v>
      </c>
      <c r="I10" s="16" t="s">
        <v>41</v>
      </c>
    </row>
    <row r="12" customFormat="false" ht="15" hidden="false" customHeight="false" outlineLevel="0" collapsed="false">
      <c r="A12" s="27" t="s">
        <v>79</v>
      </c>
    </row>
    <row r="13" customFormat="false" ht="15" hidden="false" customHeight="false" outlineLevel="0" collapsed="false">
      <c r="A13" s="2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2026-09-07T13:19:06Z</dcterms:created>
  <dc:creator>openpyxl</dc:creator>
  <dc:description/>
  <dc:language>en-US</dc:language>
  <cp:lastModifiedBy/>
  <dcterms:modified xsi:type="dcterms:W3CDTF">2026-09-07T13:19:06Z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