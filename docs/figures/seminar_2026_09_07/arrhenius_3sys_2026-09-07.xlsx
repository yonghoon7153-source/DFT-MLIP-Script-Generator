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tLines" sheetId="3" state="visible" r:id="rId3"/>
    <sheet xmlns:r="http://schemas.openxmlformats.org/officeDocument/2006/relationships" name="RT_extrapolation" sheetId="4" state="visible" r:id="rId4"/>
    <sheet xmlns:r="http://schemas.openxmlformats.org/officeDocument/2006/relationships" name="Para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E+00"/>
    <numFmt numFmtId="165" formatCode="0.000E+00"/>
    <numFmt numFmtId="166" formatCode="0.0000E+00"/>
    <numFmt numFmtId="167" formatCode="0.0000"/>
    <numFmt numFmtId="168" formatCode="0.0"/>
    <numFmt numFmtId="169" formatCode="0.000"/>
    <numFmt numFmtId="170" formatCode="0.0&quot;배&quot;"/>
  </numFmts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B91C1C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167" fontId="5" fillId="0" borderId="1" pivotButton="0" quotePrefix="0" xfId="0"/>
    <xf numFmtId="165" fontId="3" fillId="0" borderId="1" pivotButton="0" quotePrefix="0" xfId="0"/>
    <xf numFmtId="168" fontId="5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169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170" fontId="5" fillId="0" borderId="1" pivotButton="0" quotePrefix="0" xfId="0"/>
    <xf numFmtId="164" fontId="3" fillId="0" borderId="0" pivotButton="0" quotePrefix="0" xfId="0"/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Arrhenius — LPSCl1.6 / LPSOCl1.6 / B2O3@LPSCl1.6   (2026-09-07)</t>
        </is>
      </c>
    </row>
    <row r="2">
      <c r="A2" s="2" t="inlineStr"/>
    </row>
    <row r="3">
      <c r="A3" s="3" t="inlineStr">
        <is>
          <t>■ 시트 안내</t>
        </is>
      </c>
    </row>
    <row r="4">
      <c r="A4" s="2" t="inlineStr">
        <is>
          <t>Params            : 적합 파라미터. 파란 글씨만 입력이고 나머지는 수식 — Ea 를 바꾸면 다른 시트가 따라 움직입니다.</t>
        </is>
      </c>
    </row>
    <row r="5">
      <c r="A5" s="2" t="inlineStr">
        <is>
          <t>Data              : 측정점 9개 (3계 × 600/800/1000 K). sigma 는 D 에서 계산된 수식입니다.</t>
        </is>
      </c>
    </row>
    <row r="6">
      <c r="A6" s="2" t="inlineStr">
        <is>
          <t>FitLines          : 그림의 직선. 1000/T 를 x, lnD_* 를 y 로 그리세요. '구간' 열이 측정/외삽을 갈라 줍니다.</t>
        </is>
      </c>
    </row>
    <row r="7">
      <c r="A7" s="2" t="inlineStr">
        <is>
          <t>RT_extrapolation  : 300 K 외삽값 + Ea 오차 밴드.</t>
        </is>
      </c>
    </row>
    <row r="8">
      <c r="A8" s="2" t="inlineStr"/>
    </row>
    <row r="9">
      <c r="A9" s="3" t="inlineStr">
        <is>
          <t>■ sigma 와 Ea 는 서로 다른 층위입니다</t>
        </is>
      </c>
    </row>
    <row r="10">
      <c r="A10" s="2" t="inlineStr">
        <is>
          <t>sigma(T) = n · e² · D(T) / (k_B · T)    ← 그 온도의 D 하나만 씁니다. 다른 온도 정보가 안 들어갑니다.</t>
        </is>
      </c>
    </row>
    <row r="11">
      <c r="A11" s="2" t="inlineStr">
        <is>
          <t>Ea       = ln D vs 1/T 직선의 기울기     ← 세 점 전부를 써서 계마다 하나 나옵니다.</t>
        </is>
      </c>
    </row>
    <row r="12">
      <c r="A12" s="4" t="inlineStr">
        <is>
          <t>⚠ sigma 를 Arrhenius 로 그릴 때는 sigma 가 아니라 sigma×T 를 세로축에 두세요.</t>
        </is>
      </c>
    </row>
    <row r="13">
      <c r="A13" s="2" t="inlineStr">
        <is>
          <t xml:space="preserve">   1/T 인자 때문에 ln(sigma) 기울기가 ln(D) 기울기보다 0.065 eV 낮게 나옵니다 (우리 데이터 실측).</t>
        </is>
      </c>
    </row>
    <row r="14">
      <c r="A14" s="2" t="inlineStr"/>
    </row>
    <row r="15">
      <c r="A15" s="3" t="inlineStr">
        <is>
          <t>■ 300 K 외삽에 대하여</t>
        </is>
      </c>
    </row>
    <row r="16">
      <c r="A16" s="2" t="inlineStr">
        <is>
          <t>요청하신 값은 RT_extrapolation 시트에 넣었습니다. 다만 아래를 같이 봐 주세요:</t>
        </is>
      </c>
    </row>
    <row r="17">
      <c r="A17" s="4" t="inlineStr">
        <is>
          <t>· 외삽 거리 — 적합 구간은 1000/T = 1.00~1.67. 300 K 는 3.33 으로 측정 끝점의 **2배 지점**입니다.</t>
        </is>
      </c>
    </row>
    <row r="18">
      <c r="A18" s="4" t="inlineStr">
        <is>
          <t>· Ea 오차막대만 넣어도 sigma(300 K) 가 6~14배 벌어집니다 (그 시트의 밴드).</t>
        </is>
      </c>
    </row>
    <row r="19">
      <c r="A19" s="4" t="inlineStr">
        <is>
          <t>· B2O3 는 직선이 아니고(구간 Ea 0.151 vs 0.294 eV) 이 축은 2026-08-25 철회됐습니다.</t>
        </is>
      </c>
    </row>
    <row r="20">
      <c r="A20" s="4" t="inlineStr">
        <is>
          <t>⇒ 내부 감각·비교용으로는 쓰실 수 있지만, 논문·발표 수치로는 인용하지 말아 주세요.</t>
        </is>
      </c>
    </row>
    <row r="21">
      <c r="A21" s="2" t="inlineStr"/>
    </row>
    <row r="22">
      <c r="A22" s="3" t="inlineStr">
        <is>
          <t>■ 인용 규칙</t>
        </is>
      </c>
    </row>
    <row r="23">
      <c r="A23" s="2" t="inlineStr">
        <is>
          <t>허용 : Ea 값과 오차막대 · 같은 프로토콜 안에서의 계 간 상대 비교 · MSD 곡선 모양</t>
        </is>
      </c>
    </row>
    <row r="24">
      <c r="A24" s="4" t="inlineStr">
        <is>
          <t>금지 : sigma 절대값 · 300 K 외삽 · B2O3 의 D/Ea/sigma(철회) · 다른 프로토콜 값과 한 표에 놓기</t>
        </is>
      </c>
    </row>
    <row r="25">
      <c r="A25" s="2" t="inlineStr"/>
    </row>
    <row r="26">
      <c r="A26" s="3" t="inlineStr">
        <is>
          <t>■ 프로토콜 세대</t>
        </is>
      </c>
    </row>
    <row r="27">
      <c r="A27" s="2" t="inlineStr">
        <is>
          <t>Predates the 2026-08 MTO / trajectory-retention / 4-window standard. Ea values are protocol-conditioned; not comparable to the 400 ps campaign.</t>
        </is>
      </c>
    </row>
    <row r="28">
      <c r="A28" s="2" t="inlineStr">
        <is>
          <t>(UMA-s-1p1 omat · Langevin NVT dt 2 fs · MSD 창 2-50 ps 자유절편 · 생산 200 ps)</t>
        </is>
      </c>
    </row>
    <row r="29">
      <c r="A29" s="2" t="inlineStr">
        <is>
          <t>LPSCl1.6 / B2O3 = 3 seeds × 3 T (2026-07-07) · LPSOCl1.6 = 4 seeds × 3 T (2026-07-27)</t>
        </is>
      </c>
    </row>
    <row r="30">
      <c r="A30" s="2" t="inlineStr"/>
    </row>
    <row r="31">
      <c r="A31" s="2" t="inlineStr">
        <is>
          <t>원자료 : db/properties/b2o3_vs_lpscl16_conductivity.csv · lpsocl_md_arrhenius.json</t>
        </is>
      </c>
    </row>
    <row r="32">
      <c r="A32" s="2" t="inlineStr">
        <is>
          <t>설명   : kb/concepts/msd_reading.md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11" customWidth="1" min="5" max="5"/>
    <col width="13" customWidth="1" min="6" max="6"/>
    <col width="13" customWidth="1" min="7" max="7"/>
    <col width="22" customWidth="1" min="8" max="8"/>
  </cols>
  <sheetData>
    <row r="1">
      <c r="A1" s="5" t="inlineStr">
        <is>
          <t>system</t>
        </is>
      </c>
      <c r="B1" s="5" t="inlineStr">
        <is>
          <t>T_K</t>
        </is>
      </c>
      <c r="C1" s="5" t="inlineStr">
        <is>
          <t>1000/T [1/K]</t>
        </is>
      </c>
      <c r="D1" s="5" t="inlineStr">
        <is>
          <t>D_cm2_s</t>
        </is>
      </c>
      <c r="E1" s="5" t="inlineStr">
        <is>
          <t>ln D</t>
        </is>
      </c>
      <c r="F1" s="5" t="inlineStr">
        <is>
          <t>n_Li_cm-3</t>
        </is>
      </c>
      <c r="G1" s="5" t="inlineStr">
        <is>
          <t>sigma_mS/cm</t>
        </is>
      </c>
      <c r="H1" s="5" t="inlineStr">
        <is>
          <t>status</t>
        </is>
      </c>
    </row>
    <row r="2">
      <c r="A2" s="6" t="inlineStr">
        <is>
          <t>LPSCl1.6</t>
        </is>
      </c>
      <c r="B2" s="7" t="n">
        <v>600</v>
      </c>
      <c r="C2" s="8">
        <f>1000/B2</f>
        <v/>
      </c>
      <c r="D2" s="9" t="n">
        <v>1.037e-05</v>
      </c>
      <c r="E2" s="10">
        <f>LN(D2)</f>
        <v/>
      </c>
      <c r="F2" s="11" t="n">
        <v>2.22e+22</v>
      </c>
      <c r="G2" s="12">
        <f>1000*F2*Params!$B$2^2*D2/(Params!$B$3*B2)</f>
        <v/>
      </c>
      <c r="H2" s="6" t="inlineStr">
        <is>
          <t>baseline</t>
        </is>
      </c>
    </row>
    <row r="3">
      <c r="A3" s="6" t="inlineStr">
        <is>
          <t>LPSCl1.6</t>
        </is>
      </c>
      <c r="B3" s="7" t="n">
        <v>800</v>
      </c>
      <c r="C3" s="8">
        <f>1000/B3</f>
        <v/>
      </c>
      <c r="D3" s="9" t="n">
        <v>2.845e-05</v>
      </c>
      <c r="E3" s="10">
        <f>LN(D3)</f>
        <v/>
      </c>
      <c r="F3" s="11" t="n">
        <v>2.22e+22</v>
      </c>
      <c r="G3" s="12">
        <f>1000*F3*Params!$B$2^2*D3/(Params!$B$3*B3)</f>
        <v/>
      </c>
      <c r="H3" s="6" t="inlineStr">
        <is>
          <t>baseline</t>
        </is>
      </c>
    </row>
    <row r="4">
      <c r="A4" s="6" t="inlineStr">
        <is>
          <t>LPSCl1.6</t>
        </is>
      </c>
      <c r="B4" s="7" t="n">
        <v>1000</v>
      </c>
      <c r="C4" s="8">
        <f>1000/B4</f>
        <v/>
      </c>
      <c r="D4" s="9" t="n">
        <v>4.728e-05</v>
      </c>
      <c r="E4" s="10">
        <f>LN(D4)</f>
        <v/>
      </c>
      <c r="F4" s="11" t="n">
        <v>2.22e+22</v>
      </c>
      <c r="G4" s="12">
        <f>1000*F4*Params!$B$2^2*D4/(Params!$B$3*B4)</f>
        <v/>
      </c>
      <c r="H4" s="6" t="inlineStr">
        <is>
          <t>baseline</t>
        </is>
      </c>
    </row>
    <row r="5">
      <c r="A5" s="6" t="inlineStr">
        <is>
          <t>LPSOCl1.6</t>
        </is>
      </c>
      <c r="B5" s="7" t="n">
        <v>600</v>
      </c>
      <c r="C5" s="8">
        <f>1000/B5</f>
        <v/>
      </c>
      <c r="D5" s="9" t="n">
        <v>6.2705e-06</v>
      </c>
      <c r="E5" s="10">
        <f>LN(D5)</f>
        <v/>
      </c>
      <c r="F5" s="11" t="n">
        <v>2.242e+22</v>
      </c>
      <c r="G5" s="12">
        <f>1000*F5*Params!$B$2^2*D5/(Params!$B$3*B5)</f>
        <v/>
      </c>
      <c r="H5" s="6" t="inlineStr">
        <is>
          <t>baseline</t>
        </is>
      </c>
    </row>
    <row r="6">
      <c r="A6" s="6" t="inlineStr">
        <is>
          <t>LPSOCl1.6</t>
        </is>
      </c>
      <c r="B6" s="7" t="n">
        <v>800</v>
      </c>
      <c r="C6" s="8">
        <f>1000/B6</f>
        <v/>
      </c>
      <c r="D6" s="9" t="n">
        <v>2.4162e-05</v>
      </c>
      <c r="E6" s="10">
        <f>LN(D6)</f>
        <v/>
      </c>
      <c r="F6" s="11" t="n">
        <v>2.242e+22</v>
      </c>
      <c r="G6" s="12">
        <f>1000*F6*Params!$B$2^2*D6/(Params!$B$3*B6)</f>
        <v/>
      </c>
      <c r="H6" s="6" t="inlineStr">
        <is>
          <t>baseline</t>
        </is>
      </c>
    </row>
    <row r="7">
      <c r="A7" s="6" t="inlineStr">
        <is>
          <t>LPSOCl1.6</t>
        </is>
      </c>
      <c r="B7" s="7" t="n">
        <v>1000</v>
      </c>
      <c r="C7" s="8">
        <f>1000/B7</f>
        <v/>
      </c>
      <c r="D7" s="9" t="n">
        <v>5.7093e-05</v>
      </c>
      <c r="E7" s="10">
        <f>LN(D7)</f>
        <v/>
      </c>
      <c r="F7" s="11" t="n">
        <v>2.242e+22</v>
      </c>
      <c r="G7" s="12">
        <f>1000*F7*Params!$B$2^2*D7/(Params!$B$3*B7)</f>
        <v/>
      </c>
      <c r="H7" s="6" t="inlineStr">
        <is>
          <t>baseline</t>
        </is>
      </c>
    </row>
    <row r="8">
      <c r="A8" s="6" t="inlineStr">
        <is>
          <t>B2O3@LPSCl1.6</t>
        </is>
      </c>
      <c r="B8" s="7" t="n">
        <v>600</v>
      </c>
      <c r="C8" s="8">
        <f>1000/B8</f>
        <v/>
      </c>
      <c r="D8" s="9" t="n">
        <v>1.041e-05</v>
      </c>
      <c r="E8" s="10">
        <f>LN(D8)</f>
        <v/>
      </c>
      <c r="F8" s="11" t="n">
        <v>2.381e+22</v>
      </c>
      <c r="G8" s="12">
        <f>1000*F8*Params!$B$2^2*D8/(Params!$B$3*B8)</f>
        <v/>
      </c>
      <c r="H8" s="13" t="inlineStr">
        <is>
          <t>RETRACTED 2026-08-25</t>
        </is>
      </c>
    </row>
    <row r="9">
      <c r="A9" s="6" t="inlineStr">
        <is>
          <t>B2O3@LPSCl1.6</t>
        </is>
      </c>
      <c r="B9" s="7" t="n">
        <v>800</v>
      </c>
      <c r="C9" s="8">
        <f>1000/B9</f>
        <v/>
      </c>
      <c r="D9" s="9" t="n">
        <v>2.163e-05</v>
      </c>
      <c r="E9" s="10">
        <f>LN(D9)</f>
        <v/>
      </c>
      <c r="F9" s="11" t="n">
        <v>2.381e+22</v>
      </c>
      <c r="G9" s="12">
        <f>1000*F9*Params!$B$2^2*D9/(Params!$B$3*B9)</f>
        <v/>
      </c>
      <c r="H9" s="13" t="inlineStr">
        <is>
          <t>RETRACTED 2026-08-25</t>
        </is>
      </c>
    </row>
    <row r="10">
      <c r="A10" s="6" t="inlineStr">
        <is>
          <t>B2O3@LPSCl1.6</t>
        </is>
      </c>
      <c r="B10" s="7" t="n">
        <v>1000</v>
      </c>
      <c r="C10" s="8">
        <f>1000/B10</f>
        <v/>
      </c>
      <c r="D10" s="9" t="n">
        <v>5.081e-05</v>
      </c>
      <c r="E10" s="10">
        <f>LN(D10)</f>
        <v/>
      </c>
      <c r="F10" s="11" t="n">
        <v>2.381e+22</v>
      </c>
      <c r="G10" s="12">
        <f>1000*F10*Params!$B$2^2*D10/(Params!$B$3*B10)</f>
        <v/>
      </c>
      <c r="H10" s="13" t="inlineStr">
        <is>
          <t>RETRACTED 2026-08-25</t>
        </is>
      </c>
    </row>
    <row r="12">
      <c r="A12" s="4" t="inlineStr">
        <is>
          <t>⚠ sigma 는 Nernst-Einstein (Haven=1) **상한**입니다 — READ_ME 참조.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6" customWidth="1" min="4" max="4"/>
    <col width="21" customWidth="1" min="5" max="5"/>
    <col width="26" customWidth="1" min="6" max="6"/>
  </cols>
  <sheetData>
    <row r="1">
      <c r="A1" s="5" t="inlineStr">
        <is>
          <t>1000/T [1/K]</t>
        </is>
      </c>
      <c r="B1" s="5" t="inlineStr">
        <is>
          <t>T_K</t>
        </is>
      </c>
      <c r="C1" s="5" t="inlineStr">
        <is>
          <t>lnD_LPSCl1.6</t>
        </is>
      </c>
      <c r="D1" s="5" t="inlineStr">
        <is>
          <t>lnD_LPSOCl1.6</t>
        </is>
      </c>
      <c r="E1" s="5" t="inlineStr">
        <is>
          <t>lnD_B2O3 (RETRACTED)</t>
        </is>
      </c>
      <c r="F1" s="5" t="inlineStr">
        <is>
          <t>구간</t>
        </is>
      </c>
    </row>
    <row r="2">
      <c r="A2" s="7" t="n">
        <v>0.95</v>
      </c>
      <c r="B2" s="12">
        <f>1000/A2</f>
        <v/>
      </c>
      <c r="C2" s="10">
        <f>Params!$E$8-(Params!$D$8/Params!$B$4)*(A2/1000)</f>
        <v/>
      </c>
      <c r="D2" s="10">
        <f>Params!$E$9-(Params!$D$9/Params!$B$4)*(A2/1000)</f>
        <v/>
      </c>
      <c r="E2" s="10">
        <f>Params!$E$10-(Params!$D$10/Params!$B$4)*(A2/1000)</f>
        <v/>
      </c>
      <c r="F2" s="6" t="inlineStr">
        <is>
          <t>측정 구간 (600-1000 K)</t>
        </is>
      </c>
    </row>
    <row r="3">
      <c r="A3" s="7" t="n">
        <v>0.97</v>
      </c>
      <c r="B3" s="12">
        <f>1000/A3</f>
        <v/>
      </c>
      <c r="C3" s="10">
        <f>Params!$E$8-(Params!$D$8/Params!$B$4)*(A3/1000)</f>
        <v/>
      </c>
      <c r="D3" s="10">
        <f>Params!$E$9-(Params!$D$9/Params!$B$4)*(A3/1000)</f>
        <v/>
      </c>
      <c r="E3" s="10">
        <f>Params!$E$10-(Params!$D$10/Params!$B$4)*(A3/1000)</f>
        <v/>
      </c>
      <c r="F3" s="6" t="inlineStr">
        <is>
          <t>측정 구간 (600-1000 K)</t>
        </is>
      </c>
    </row>
    <row r="4">
      <c r="A4" s="7" t="n">
        <v>0.99</v>
      </c>
      <c r="B4" s="12">
        <f>1000/A4</f>
        <v/>
      </c>
      <c r="C4" s="10">
        <f>Params!$E$8-(Params!$D$8/Params!$B$4)*(A4/1000)</f>
        <v/>
      </c>
      <c r="D4" s="10">
        <f>Params!$E$9-(Params!$D$9/Params!$B$4)*(A4/1000)</f>
        <v/>
      </c>
      <c r="E4" s="10">
        <f>Params!$E$10-(Params!$D$10/Params!$B$4)*(A4/1000)</f>
        <v/>
      </c>
      <c r="F4" s="6" t="inlineStr">
        <is>
          <t>측정 구간 (600-1000 K)</t>
        </is>
      </c>
    </row>
    <row r="5">
      <c r="A5" s="7" t="n">
        <v>1.01</v>
      </c>
      <c r="B5" s="12">
        <f>1000/A5</f>
        <v/>
      </c>
      <c r="C5" s="10">
        <f>Params!$E$8-(Params!$D$8/Params!$B$4)*(A5/1000)</f>
        <v/>
      </c>
      <c r="D5" s="10">
        <f>Params!$E$9-(Params!$D$9/Params!$B$4)*(A5/1000)</f>
        <v/>
      </c>
      <c r="E5" s="10">
        <f>Params!$E$10-(Params!$D$10/Params!$B$4)*(A5/1000)</f>
        <v/>
      </c>
      <c r="F5" s="6" t="inlineStr">
        <is>
          <t>측정 구간 (600-1000 K)</t>
        </is>
      </c>
    </row>
    <row r="6">
      <c r="A6" s="7" t="n">
        <v>1.03</v>
      </c>
      <c r="B6" s="12">
        <f>1000/A6</f>
        <v/>
      </c>
      <c r="C6" s="10">
        <f>Params!$E$8-(Params!$D$8/Params!$B$4)*(A6/1000)</f>
        <v/>
      </c>
      <c r="D6" s="10">
        <f>Params!$E$9-(Params!$D$9/Params!$B$4)*(A6/1000)</f>
        <v/>
      </c>
      <c r="E6" s="10">
        <f>Params!$E$10-(Params!$D$10/Params!$B$4)*(A6/1000)</f>
        <v/>
      </c>
      <c r="F6" s="6" t="inlineStr">
        <is>
          <t>측정 구간 (600-1000 K)</t>
        </is>
      </c>
    </row>
    <row r="7">
      <c r="A7" s="7" t="n">
        <v>1.05</v>
      </c>
      <c r="B7" s="12">
        <f>1000/A7</f>
        <v/>
      </c>
      <c r="C7" s="10">
        <f>Params!$E$8-(Params!$D$8/Params!$B$4)*(A7/1000)</f>
        <v/>
      </c>
      <c r="D7" s="10">
        <f>Params!$E$9-(Params!$D$9/Params!$B$4)*(A7/1000)</f>
        <v/>
      </c>
      <c r="E7" s="10">
        <f>Params!$E$10-(Params!$D$10/Params!$B$4)*(A7/1000)</f>
        <v/>
      </c>
      <c r="F7" s="6" t="inlineStr">
        <is>
          <t>측정 구간 (600-1000 K)</t>
        </is>
      </c>
    </row>
    <row r="8">
      <c r="A8" s="7" t="n">
        <v>1.07</v>
      </c>
      <c r="B8" s="12">
        <f>1000/A8</f>
        <v/>
      </c>
      <c r="C8" s="10">
        <f>Params!$E$8-(Params!$D$8/Params!$B$4)*(A8/1000)</f>
        <v/>
      </c>
      <c r="D8" s="10">
        <f>Params!$E$9-(Params!$D$9/Params!$B$4)*(A8/1000)</f>
        <v/>
      </c>
      <c r="E8" s="10">
        <f>Params!$E$10-(Params!$D$10/Params!$B$4)*(A8/1000)</f>
        <v/>
      </c>
      <c r="F8" s="6" t="inlineStr">
        <is>
          <t>측정 구간 (600-1000 K)</t>
        </is>
      </c>
    </row>
    <row r="9">
      <c r="A9" s="7" t="n">
        <v>1.09</v>
      </c>
      <c r="B9" s="12">
        <f>1000/A9</f>
        <v/>
      </c>
      <c r="C9" s="10">
        <f>Params!$E$8-(Params!$D$8/Params!$B$4)*(A9/1000)</f>
        <v/>
      </c>
      <c r="D9" s="10">
        <f>Params!$E$9-(Params!$D$9/Params!$B$4)*(A9/1000)</f>
        <v/>
      </c>
      <c r="E9" s="10">
        <f>Params!$E$10-(Params!$D$10/Params!$B$4)*(A9/1000)</f>
        <v/>
      </c>
      <c r="F9" s="6" t="inlineStr">
        <is>
          <t>측정 구간 (600-1000 K)</t>
        </is>
      </c>
    </row>
    <row r="10">
      <c r="A10" s="7" t="n">
        <v>1.11</v>
      </c>
      <c r="B10" s="12">
        <f>1000/A10</f>
        <v/>
      </c>
      <c r="C10" s="10">
        <f>Params!$E$8-(Params!$D$8/Params!$B$4)*(A10/1000)</f>
        <v/>
      </c>
      <c r="D10" s="10">
        <f>Params!$E$9-(Params!$D$9/Params!$B$4)*(A10/1000)</f>
        <v/>
      </c>
      <c r="E10" s="10">
        <f>Params!$E$10-(Params!$D$10/Params!$B$4)*(A10/1000)</f>
        <v/>
      </c>
      <c r="F10" s="6" t="inlineStr">
        <is>
          <t>측정 구간 (600-1000 K)</t>
        </is>
      </c>
    </row>
    <row r="11">
      <c r="A11" s="7" t="n">
        <v>1.13</v>
      </c>
      <c r="B11" s="12">
        <f>1000/A11</f>
        <v/>
      </c>
      <c r="C11" s="10">
        <f>Params!$E$8-(Params!$D$8/Params!$B$4)*(A11/1000)</f>
        <v/>
      </c>
      <c r="D11" s="10">
        <f>Params!$E$9-(Params!$D$9/Params!$B$4)*(A11/1000)</f>
        <v/>
      </c>
      <c r="E11" s="10">
        <f>Params!$E$10-(Params!$D$10/Params!$B$4)*(A11/1000)</f>
        <v/>
      </c>
      <c r="F11" s="6" t="inlineStr">
        <is>
          <t>측정 구간 (600-1000 K)</t>
        </is>
      </c>
    </row>
    <row r="12">
      <c r="A12" s="7" t="n">
        <v>1.15</v>
      </c>
      <c r="B12" s="12">
        <f>1000/A12</f>
        <v/>
      </c>
      <c r="C12" s="10">
        <f>Params!$E$8-(Params!$D$8/Params!$B$4)*(A12/1000)</f>
        <v/>
      </c>
      <c r="D12" s="10">
        <f>Params!$E$9-(Params!$D$9/Params!$B$4)*(A12/1000)</f>
        <v/>
      </c>
      <c r="E12" s="10">
        <f>Params!$E$10-(Params!$D$10/Params!$B$4)*(A12/1000)</f>
        <v/>
      </c>
      <c r="F12" s="6" t="inlineStr">
        <is>
          <t>측정 구간 (600-1000 K)</t>
        </is>
      </c>
    </row>
    <row r="13">
      <c r="A13" s="7" t="n">
        <v>1.17</v>
      </c>
      <c r="B13" s="12">
        <f>1000/A13</f>
        <v/>
      </c>
      <c r="C13" s="10">
        <f>Params!$E$8-(Params!$D$8/Params!$B$4)*(A13/1000)</f>
        <v/>
      </c>
      <c r="D13" s="10">
        <f>Params!$E$9-(Params!$D$9/Params!$B$4)*(A13/1000)</f>
        <v/>
      </c>
      <c r="E13" s="10">
        <f>Params!$E$10-(Params!$D$10/Params!$B$4)*(A13/1000)</f>
        <v/>
      </c>
      <c r="F13" s="6" t="inlineStr">
        <is>
          <t>측정 구간 (600-1000 K)</t>
        </is>
      </c>
    </row>
    <row r="14">
      <c r="A14" s="7" t="n">
        <v>1.19</v>
      </c>
      <c r="B14" s="12">
        <f>1000/A14</f>
        <v/>
      </c>
      <c r="C14" s="10">
        <f>Params!$E$8-(Params!$D$8/Params!$B$4)*(A14/1000)</f>
        <v/>
      </c>
      <c r="D14" s="10">
        <f>Params!$E$9-(Params!$D$9/Params!$B$4)*(A14/1000)</f>
        <v/>
      </c>
      <c r="E14" s="10">
        <f>Params!$E$10-(Params!$D$10/Params!$B$4)*(A14/1000)</f>
        <v/>
      </c>
      <c r="F14" s="6" t="inlineStr">
        <is>
          <t>측정 구간 (600-1000 K)</t>
        </is>
      </c>
    </row>
    <row r="15">
      <c r="A15" s="7" t="n">
        <v>1.21</v>
      </c>
      <c r="B15" s="12">
        <f>1000/A15</f>
        <v/>
      </c>
      <c r="C15" s="10">
        <f>Params!$E$8-(Params!$D$8/Params!$B$4)*(A15/1000)</f>
        <v/>
      </c>
      <c r="D15" s="10">
        <f>Params!$E$9-(Params!$D$9/Params!$B$4)*(A15/1000)</f>
        <v/>
      </c>
      <c r="E15" s="10">
        <f>Params!$E$10-(Params!$D$10/Params!$B$4)*(A15/1000)</f>
        <v/>
      </c>
      <c r="F15" s="6" t="inlineStr">
        <is>
          <t>측정 구간 (600-1000 K)</t>
        </is>
      </c>
    </row>
    <row r="16">
      <c r="A16" s="7" t="n">
        <v>1.23</v>
      </c>
      <c r="B16" s="12">
        <f>1000/A16</f>
        <v/>
      </c>
      <c r="C16" s="10">
        <f>Params!$E$8-(Params!$D$8/Params!$B$4)*(A16/1000)</f>
        <v/>
      </c>
      <c r="D16" s="10">
        <f>Params!$E$9-(Params!$D$9/Params!$B$4)*(A16/1000)</f>
        <v/>
      </c>
      <c r="E16" s="10">
        <f>Params!$E$10-(Params!$D$10/Params!$B$4)*(A16/1000)</f>
        <v/>
      </c>
      <c r="F16" s="6" t="inlineStr">
        <is>
          <t>측정 구간 (600-1000 K)</t>
        </is>
      </c>
    </row>
    <row r="17">
      <c r="A17" s="7" t="n">
        <v>1.25</v>
      </c>
      <c r="B17" s="12">
        <f>1000/A17</f>
        <v/>
      </c>
      <c r="C17" s="10">
        <f>Params!$E$8-(Params!$D$8/Params!$B$4)*(A17/1000)</f>
        <v/>
      </c>
      <c r="D17" s="10">
        <f>Params!$E$9-(Params!$D$9/Params!$B$4)*(A17/1000)</f>
        <v/>
      </c>
      <c r="E17" s="10">
        <f>Params!$E$10-(Params!$D$10/Params!$B$4)*(A17/1000)</f>
        <v/>
      </c>
      <c r="F17" s="6" t="inlineStr">
        <is>
          <t>측정 구간 (600-1000 K)</t>
        </is>
      </c>
    </row>
    <row r="18">
      <c r="A18" s="7" t="n">
        <v>1.27</v>
      </c>
      <c r="B18" s="12">
        <f>1000/A18</f>
        <v/>
      </c>
      <c r="C18" s="10">
        <f>Params!$E$8-(Params!$D$8/Params!$B$4)*(A18/1000)</f>
        <v/>
      </c>
      <c r="D18" s="10">
        <f>Params!$E$9-(Params!$D$9/Params!$B$4)*(A18/1000)</f>
        <v/>
      </c>
      <c r="E18" s="10">
        <f>Params!$E$10-(Params!$D$10/Params!$B$4)*(A18/1000)</f>
        <v/>
      </c>
      <c r="F18" s="6" t="inlineStr">
        <is>
          <t>측정 구간 (600-1000 K)</t>
        </is>
      </c>
    </row>
    <row r="19">
      <c r="A19" s="7" t="n">
        <v>1.29</v>
      </c>
      <c r="B19" s="12">
        <f>1000/A19</f>
        <v/>
      </c>
      <c r="C19" s="10">
        <f>Params!$E$8-(Params!$D$8/Params!$B$4)*(A19/1000)</f>
        <v/>
      </c>
      <c r="D19" s="10">
        <f>Params!$E$9-(Params!$D$9/Params!$B$4)*(A19/1000)</f>
        <v/>
      </c>
      <c r="E19" s="10">
        <f>Params!$E$10-(Params!$D$10/Params!$B$4)*(A19/1000)</f>
        <v/>
      </c>
      <c r="F19" s="6" t="inlineStr">
        <is>
          <t>측정 구간 (600-1000 K)</t>
        </is>
      </c>
    </row>
    <row r="20">
      <c r="A20" s="7" t="n">
        <v>1.31</v>
      </c>
      <c r="B20" s="12">
        <f>1000/A20</f>
        <v/>
      </c>
      <c r="C20" s="10">
        <f>Params!$E$8-(Params!$D$8/Params!$B$4)*(A20/1000)</f>
        <v/>
      </c>
      <c r="D20" s="10">
        <f>Params!$E$9-(Params!$D$9/Params!$B$4)*(A20/1000)</f>
        <v/>
      </c>
      <c r="E20" s="10">
        <f>Params!$E$10-(Params!$D$10/Params!$B$4)*(A20/1000)</f>
        <v/>
      </c>
      <c r="F20" s="6" t="inlineStr">
        <is>
          <t>측정 구간 (600-1000 K)</t>
        </is>
      </c>
    </row>
    <row r="21">
      <c r="A21" s="7" t="n">
        <v>1.33</v>
      </c>
      <c r="B21" s="12">
        <f>1000/A21</f>
        <v/>
      </c>
      <c r="C21" s="10">
        <f>Params!$E$8-(Params!$D$8/Params!$B$4)*(A21/1000)</f>
        <v/>
      </c>
      <c r="D21" s="10">
        <f>Params!$E$9-(Params!$D$9/Params!$B$4)*(A21/1000)</f>
        <v/>
      </c>
      <c r="E21" s="10">
        <f>Params!$E$10-(Params!$D$10/Params!$B$4)*(A21/1000)</f>
        <v/>
      </c>
      <c r="F21" s="6" t="inlineStr">
        <is>
          <t>측정 구간 (600-1000 K)</t>
        </is>
      </c>
    </row>
    <row r="22">
      <c r="A22" s="7" t="n">
        <v>1.35</v>
      </c>
      <c r="B22" s="12">
        <f>1000/A22</f>
        <v/>
      </c>
      <c r="C22" s="10">
        <f>Params!$E$8-(Params!$D$8/Params!$B$4)*(A22/1000)</f>
        <v/>
      </c>
      <c r="D22" s="10">
        <f>Params!$E$9-(Params!$D$9/Params!$B$4)*(A22/1000)</f>
        <v/>
      </c>
      <c r="E22" s="10">
        <f>Params!$E$10-(Params!$D$10/Params!$B$4)*(A22/1000)</f>
        <v/>
      </c>
      <c r="F22" s="6" t="inlineStr">
        <is>
          <t>측정 구간 (600-1000 K)</t>
        </is>
      </c>
    </row>
    <row r="23">
      <c r="A23" s="7" t="n">
        <v>1.37</v>
      </c>
      <c r="B23" s="12">
        <f>1000/A23</f>
        <v/>
      </c>
      <c r="C23" s="10">
        <f>Params!$E$8-(Params!$D$8/Params!$B$4)*(A23/1000)</f>
        <v/>
      </c>
      <c r="D23" s="10">
        <f>Params!$E$9-(Params!$D$9/Params!$B$4)*(A23/1000)</f>
        <v/>
      </c>
      <c r="E23" s="10">
        <f>Params!$E$10-(Params!$D$10/Params!$B$4)*(A23/1000)</f>
        <v/>
      </c>
      <c r="F23" s="6" t="inlineStr">
        <is>
          <t>측정 구간 (600-1000 K)</t>
        </is>
      </c>
    </row>
    <row r="24">
      <c r="A24" s="7" t="n">
        <v>1.39</v>
      </c>
      <c r="B24" s="12">
        <f>1000/A24</f>
        <v/>
      </c>
      <c r="C24" s="10">
        <f>Params!$E$8-(Params!$D$8/Params!$B$4)*(A24/1000)</f>
        <v/>
      </c>
      <c r="D24" s="10">
        <f>Params!$E$9-(Params!$D$9/Params!$B$4)*(A24/1000)</f>
        <v/>
      </c>
      <c r="E24" s="10">
        <f>Params!$E$10-(Params!$D$10/Params!$B$4)*(A24/1000)</f>
        <v/>
      </c>
      <c r="F24" s="6" t="inlineStr">
        <is>
          <t>측정 구간 (600-1000 K)</t>
        </is>
      </c>
    </row>
    <row r="25">
      <c r="A25" s="7" t="n">
        <v>1.41</v>
      </c>
      <c r="B25" s="12">
        <f>1000/A25</f>
        <v/>
      </c>
      <c r="C25" s="10">
        <f>Params!$E$8-(Params!$D$8/Params!$B$4)*(A25/1000)</f>
        <v/>
      </c>
      <c r="D25" s="10">
        <f>Params!$E$9-(Params!$D$9/Params!$B$4)*(A25/1000)</f>
        <v/>
      </c>
      <c r="E25" s="10">
        <f>Params!$E$10-(Params!$D$10/Params!$B$4)*(A25/1000)</f>
        <v/>
      </c>
      <c r="F25" s="6" t="inlineStr">
        <is>
          <t>측정 구간 (600-1000 K)</t>
        </is>
      </c>
    </row>
    <row r="26">
      <c r="A26" s="7" t="n">
        <v>1.43</v>
      </c>
      <c r="B26" s="12">
        <f>1000/A26</f>
        <v/>
      </c>
      <c r="C26" s="10">
        <f>Params!$E$8-(Params!$D$8/Params!$B$4)*(A26/1000)</f>
        <v/>
      </c>
      <c r="D26" s="10">
        <f>Params!$E$9-(Params!$D$9/Params!$B$4)*(A26/1000)</f>
        <v/>
      </c>
      <c r="E26" s="10">
        <f>Params!$E$10-(Params!$D$10/Params!$B$4)*(A26/1000)</f>
        <v/>
      </c>
      <c r="F26" s="6" t="inlineStr">
        <is>
          <t>측정 구간 (600-1000 K)</t>
        </is>
      </c>
    </row>
    <row r="27">
      <c r="A27" s="7" t="n">
        <v>1.45</v>
      </c>
      <c r="B27" s="12">
        <f>1000/A27</f>
        <v/>
      </c>
      <c r="C27" s="10">
        <f>Params!$E$8-(Params!$D$8/Params!$B$4)*(A27/1000)</f>
        <v/>
      </c>
      <c r="D27" s="10">
        <f>Params!$E$9-(Params!$D$9/Params!$B$4)*(A27/1000)</f>
        <v/>
      </c>
      <c r="E27" s="10">
        <f>Params!$E$10-(Params!$D$10/Params!$B$4)*(A27/1000)</f>
        <v/>
      </c>
      <c r="F27" s="6" t="inlineStr">
        <is>
          <t>측정 구간 (600-1000 K)</t>
        </is>
      </c>
    </row>
    <row r="28">
      <c r="A28" s="7" t="n">
        <v>1.47</v>
      </c>
      <c r="B28" s="12">
        <f>1000/A28</f>
        <v/>
      </c>
      <c r="C28" s="10">
        <f>Params!$E$8-(Params!$D$8/Params!$B$4)*(A28/1000)</f>
        <v/>
      </c>
      <c r="D28" s="10">
        <f>Params!$E$9-(Params!$D$9/Params!$B$4)*(A28/1000)</f>
        <v/>
      </c>
      <c r="E28" s="10">
        <f>Params!$E$10-(Params!$D$10/Params!$B$4)*(A28/1000)</f>
        <v/>
      </c>
      <c r="F28" s="6" t="inlineStr">
        <is>
          <t>측정 구간 (600-1000 K)</t>
        </is>
      </c>
    </row>
    <row r="29">
      <c r="A29" s="7" t="n">
        <v>1.49</v>
      </c>
      <c r="B29" s="12">
        <f>1000/A29</f>
        <v/>
      </c>
      <c r="C29" s="10">
        <f>Params!$E$8-(Params!$D$8/Params!$B$4)*(A29/1000)</f>
        <v/>
      </c>
      <c r="D29" s="10">
        <f>Params!$E$9-(Params!$D$9/Params!$B$4)*(A29/1000)</f>
        <v/>
      </c>
      <c r="E29" s="10">
        <f>Params!$E$10-(Params!$D$10/Params!$B$4)*(A29/1000)</f>
        <v/>
      </c>
      <c r="F29" s="6" t="inlineStr">
        <is>
          <t>측정 구간 (600-1000 K)</t>
        </is>
      </c>
    </row>
    <row r="30">
      <c r="A30" s="7" t="n">
        <v>1.51</v>
      </c>
      <c r="B30" s="12">
        <f>1000/A30</f>
        <v/>
      </c>
      <c r="C30" s="10">
        <f>Params!$E$8-(Params!$D$8/Params!$B$4)*(A30/1000)</f>
        <v/>
      </c>
      <c r="D30" s="10">
        <f>Params!$E$9-(Params!$D$9/Params!$B$4)*(A30/1000)</f>
        <v/>
      </c>
      <c r="E30" s="10">
        <f>Params!$E$10-(Params!$D$10/Params!$B$4)*(A30/1000)</f>
        <v/>
      </c>
      <c r="F30" s="6" t="inlineStr">
        <is>
          <t>측정 구간 (600-1000 K)</t>
        </is>
      </c>
    </row>
    <row r="31">
      <c r="A31" s="7" t="n">
        <v>1.53</v>
      </c>
      <c r="B31" s="12">
        <f>1000/A31</f>
        <v/>
      </c>
      <c r="C31" s="10">
        <f>Params!$E$8-(Params!$D$8/Params!$B$4)*(A31/1000)</f>
        <v/>
      </c>
      <c r="D31" s="10">
        <f>Params!$E$9-(Params!$D$9/Params!$B$4)*(A31/1000)</f>
        <v/>
      </c>
      <c r="E31" s="10">
        <f>Params!$E$10-(Params!$D$10/Params!$B$4)*(A31/1000)</f>
        <v/>
      </c>
      <c r="F31" s="6" t="inlineStr">
        <is>
          <t>측정 구간 (600-1000 K)</t>
        </is>
      </c>
    </row>
    <row r="32">
      <c r="A32" s="7" t="n">
        <v>1.55</v>
      </c>
      <c r="B32" s="12">
        <f>1000/A32</f>
        <v/>
      </c>
      <c r="C32" s="10">
        <f>Params!$E$8-(Params!$D$8/Params!$B$4)*(A32/1000)</f>
        <v/>
      </c>
      <c r="D32" s="10">
        <f>Params!$E$9-(Params!$D$9/Params!$B$4)*(A32/1000)</f>
        <v/>
      </c>
      <c r="E32" s="10">
        <f>Params!$E$10-(Params!$D$10/Params!$B$4)*(A32/1000)</f>
        <v/>
      </c>
      <c r="F32" s="6" t="inlineStr">
        <is>
          <t>측정 구간 (600-1000 K)</t>
        </is>
      </c>
    </row>
    <row r="33">
      <c r="A33" s="7" t="n">
        <v>1.57</v>
      </c>
      <c r="B33" s="12">
        <f>1000/A33</f>
        <v/>
      </c>
      <c r="C33" s="10">
        <f>Params!$E$8-(Params!$D$8/Params!$B$4)*(A33/1000)</f>
        <v/>
      </c>
      <c r="D33" s="10">
        <f>Params!$E$9-(Params!$D$9/Params!$B$4)*(A33/1000)</f>
        <v/>
      </c>
      <c r="E33" s="10">
        <f>Params!$E$10-(Params!$D$10/Params!$B$4)*(A33/1000)</f>
        <v/>
      </c>
      <c r="F33" s="6" t="inlineStr">
        <is>
          <t>측정 구간 (600-1000 K)</t>
        </is>
      </c>
    </row>
    <row r="34">
      <c r="A34" s="7" t="n">
        <v>1.59</v>
      </c>
      <c r="B34" s="12">
        <f>1000/A34</f>
        <v/>
      </c>
      <c r="C34" s="10">
        <f>Params!$E$8-(Params!$D$8/Params!$B$4)*(A34/1000)</f>
        <v/>
      </c>
      <c r="D34" s="10">
        <f>Params!$E$9-(Params!$D$9/Params!$B$4)*(A34/1000)</f>
        <v/>
      </c>
      <c r="E34" s="10">
        <f>Params!$E$10-(Params!$D$10/Params!$B$4)*(A34/1000)</f>
        <v/>
      </c>
      <c r="F34" s="6" t="inlineStr">
        <is>
          <t>측정 구간 (600-1000 K)</t>
        </is>
      </c>
    </row>
    <row r="35">
      <c r="A35" s="7" t="n">
        <v>1.61</v>
      </c>
      <c r="B35" s="12">
        <f>1000/A35</f>
        <v/>
      </c>
      <c r="C35" s="10">
        <f>Params!$E$8-(Params!$D$8/Params!$B$4)*(A35/1000)</f>
        <v/>
      </c>
      <c r="D35" s="10">
        <f>Params!$E$9-(Params!$D$9/Params!$B$4)*(A35/1000)</f>
        <v/>
      </c>
      <c r="E35" s="10">
        <f>Params!$E$10-(Params!$D$10/Params!$B$4)*(A35/1000)</f>
        <v/>
      </c>
      <c r="F35" s="6" t="inlineStr">
        <is>
          <t>측정 구간 (600-1000 K)</t>
        </is>
      </c>
    </row>
    <row r="36">
      <c r="A36" s="7" t="n">
        <v>1.63</v>
      </c>
      <c r="B36" s="12">
        <f>1000/A36</f>
        <v/>
      </c>
      <c r="C36" s="10">
        <f>Params!$E$8-(Params!$D$8/Params!$B$4)*(A36/1000)</f>
        <v/>
      </c>
      <c r="D36" s="10">
        <f>Params!$E$9-(Params!$D$9/Params!$B$4)*(A36/1000)</f>
        <v/>
      </c>
      <c r="E36" s="10">
        <f>Params!$E$10-(Params!$D$10/Params!$B$4)*(A36/1000)</f>
        <v/>
      </c>
      <c r="F36" s="6" t="inlineStr">
        <is>
          <t>측정 구간 (600-1000 K)</t>
        </is>
      </c>
    </row>
    <row r="37">
      <c r="A37" s="7" t="n">
        <v>1.65</v>
      </c>
      <c r="B37" s="12">
        <f>1000/A37</f>
        <v/>
      </c>
      <c r="C37" s="10">
        <f>Params!$E$8-(Params!$D$8/Params!$B$4)*(A37/1000)</f>
        <v/>
      </c>
      <c r="D37" s="10">
        <f>Params!$E$9-(Params!$D$9/Params!$B$4)*(A37/1000)</f>
        <v/>
      </c>
      <c r="E37" s="10">
        <f>Params!$E$10-(Params!$D$10/Params!$B$4)*(A37/1000)</f>
        <v/>
      </c>
      <c r="F37" s="6" t="inlineStr">
        <is>
          <t>측정 구간 (600-1000 K)</t>
        </is>
      </c>
    </row>
    <row r="38">
      <c r="A38" s="7" t="n">
        <v>1.67</v>
      </c>
      <c r="B38" s="12">
        <f>1000/A38</f>
        <v/>
      </c>
      <c r="C38" s="10">
        <f>Params!$E$8-(Params!$D$8/Params!$B$4)*(A38/1000)</f>
        <v/>
      </c>
      <c r="D38" s="10">
        <f>Params!$E$9-(Params!$D$9/Params!$B$4)*(A38/1000)</f>
        <v/>
      </c>
      <c r="E38" s="10">
        <f>Params!$E$10-(Params!$D$10/Params!$B$4)*(A38/1000)</f>
        <v/>
      </c>
      <c r="F38" s="13" t="inlineStr">
        <is>
          <t>⚠ 외삽 (측정 밖)</t>
        </is>
      </c>
    </row>
    <row r="39">
      <c r="A39" s="7" t="n">
        <v>1.69</v>
      </c>
      <c r="B39" s="12">
        <f>1000/A39</f>
        <v/>
      </c>
      <c r="C39" s="10">
        <f>Params!$E$8-(Params!$D$8/Params!$B$4)*(A39/1000)</f>
        <v/>
      </c>
      <c r="D39" s="10">
        <f>Params!$E$9-(Params!$D$9/Params!$B$4)*(A39/1000)</f>
        <v/>
      </c>
      <c r="E39" s="10">
        <f>Params!$E$10-(Params!$D$10/Params!$B$4)*(A39/1000)</f>
        <v/>
      </c>
      <c r="F39" s="13" t="inlineStr">
        <is>
          <t>⚠ 외삽 (측정 밖)</t>
        </is>
      </c>
    </row>
    <row r="40">
      <c r="A40" s="7" t="n">
        <v>1.71</v>
      </c>
      <c r="B40" s="12">
        <f>1000/A40</f>
        <v/>
      </c>
      <c r="C40" s="10">
        <f>Params!$E$8-(Params!$D$8/Params!$B$4)*(A40/1000)</f>
        <v/>
      </c>
      <c r="D40" s="10">
        <f>Params!$E$9-(Params!$D$9/Params!$B$4)*(A40/1000)</f>
        <v/>
      </c>
      <c r="E40" s="10">
        <f>Params!$E$10-(Params!$D$10/Params!$B$4)*(A40/1000)</f>
        <v/>
      </c>
      <c r="F40" s="13" t="inlineStr">
        <is>
          <t>⚠ 외삽 (측정 밖)</t>
        </is>
      </c>
    </row>
    <row r="41">
      <c r="A41" s="7" t="n">
        <v>1.73</v>
      </c>
      <c r="B41" s="12">
        <f>1000/A41</f>
        <v/>
      </c>
      <c r="C41" s="10">
        <f>Params!$E$8-(Params!$D$8/Params!$B$4)*(A41/1000)</f>
        <v/>
      </c>
      <c r="D41" s="10">
        <f>Params!$E$9-(Params!$D$9/Params!$B$4)*(A41/1000)</f>
        <v/>
      </c>
      <c r="E41" s="10">
        <f>Params!$E$10-(Params!$D$10/Params!$B$4)*(A41/1000)</f>
        <v/>
      </c>
      <c r="F41" s="13" t="inlineStr">
        <is>
          <t>⚠ 외삽 (측정 밖)</t>
        </is>
      </c>
    </row>
    <row r="42">
      <c r="A42" s="7" t="n">
        <v>1.75</v>
      </c>
      <c r="B42" s="12">
        <f>1000/A42</f>
        <v/>
      </c>
      <c r="C42" s="10">
        <f>Params!$E$8-(Params!$D$8/Params!$B$4)*(A42/1000)</f>
        <v/>
      </c>
      <c r="D42" s="10">
        <f>Params!$E$9-(Params!$D$9/Params!$B$4)*(A42/1000)</f>
        <v/>
      </c>
      <c r="E42" s="10">
        <f>Params!$E$10-(Params!$D$10/Params!$B$4)*(A42/1000)</f>
        <v/>
      </c>
      <c r="F42" s="13" t="inlineStr">
        <is>
          <t>⚠ 외삽 (측정 밖)</t>
        </is>
      </c>
    </row>
    <row r="43">
      <c r="A43" s="7" t="n">
        <v>1.77</v>
      </c>
      <c r="B43" s="12">
        <f>1000/A43</f>
        <v/>
      </c>
      <c r="C43" s="10">
        <f>Params!$E$8-(Params!$D$8/Params!$B$4)*(A43/1000)</f>
        <v/>
      </c>
      <c r="D43" s="10">
        <f>Params!$E$9-(Params!$D$9/Params!$B$4)*(A43/1000)</f>
        <v/>
      </c>
      <c r="E43" s="10">
        <f>Params!$E$10-(Params!$D$10/Params!$B$4)*(A43/1000)</f>
        <v/>
      </c>
      <c r="F43" s="13" t="inlineStr">
        <is>
          <t>⚠ 외삽 (측정 밖)</t>
        </is>
      </c>
    </row>
    <row r="44">
      <c r="A44" s="7" t="n">
        <v>1.79</v>
      </c>
      <c r="B44" s="12">
        <f>1000/A44</f>
        <v/>
      </c>
      <c r="C44" s="10">
        <f>Params!$E$8-(Params!$D$8/Params!$B$4)*(A44/1000)</f>
        <v/>
      </c>
      <c r="D44" s="10">
        <f>Params!$E$9-(Params!$D$9/Params!$B$4)*(A44/1000)</f>
        <v/>
      </c>
      <c r="E44" s="10">
        <f>Params!$E$10-(Params!$D$10/Params!$B$4)*(A44/1000)</f>
        <v/>
      </c>
      <c r="F44" s="13" t="inlineStr">
        <is>
          <t>⚠ 외삽 (측정 밖)</t>
        </is>
      </c>
    </row>
    <row r="45">
      <c r="A45" s="7" t="n">
        <v>1.81</v>
      </c>
      <c r="B45" s="12">
        <f>1000/A45</f>
        <v/>
      </c>
      <c r="C45" s="10">
        <f>Params!$E$8-(Params!$D$8/Params!$B$4)*(A45/1000)</f>
        <v/>
      </c>
      <c r="D45" s="10">
        <f>Params!$E$9-(Params!$D$9/Params!$B$4)*(A45/1000)</f>
        <v/>
      </c>
      <c r="E45" s="10">
        <f>Params!$E$10-(Params!$D$10/Params!$B$4)*(A45/1000)</f>
        <v/>
      </c>
      <c r="F45" s="13" t="inlineStr">
        <is>
          <t>⚠ 외삽 (측정 밖)</t>
        </is>
      </c>
    </row>
    <row r="46">
      <c r="A46" s="7" t="n">
        <v>1.83</v>
      </c>
      <c r="B46" s="12">
        <f>1000/A46</f>
        <v/>
      </c>
      <c r="C46" s="10">
        <f>Params!$E$8-(Params!$D$8/Params!$B$4)*(A46/1000)</f>
        <v/>
      </c>
      <c r="D46" s="10">
        <f>Params!$E$9-(Params!$D$9/Params!$B$4)*(A46/1000)</f>
        <v/>
      </c>
      <c r="E46" s="10">
        <f>Params!$E$10-(Params!$D$10/Params!$B$4)*(A46/1000)</f>
        <v/>
      </c>
      <c r="F46" s="13" t="inlineStr">
        <is>
          <t>⚠ 외삽 (측정 밖)</t>
        </is>
      </c>
    </row>
    <row r="47">
      <c r="A47" s="7" t="n">
        <v>1.85</v>
      </c>
      <c r="B47" s="12">
        <f>1000/A47</f>
        <v/>
      </c>
      <c r="C47" s="10">
        <f>Params!$E$8-(Params!$D$8/Params!$B$4)*(A47/1000)</f>
        <v/>
      </c>
      <c r="D47" s="10">
        <f>Params!$E$9-(Params!$D$9/Params!$B$4)*(A47/1000)</f>
        <v/>
      </c>
      <c r="E47" s="10">
        <f>Params!$E$10-(Params!$D$10/Params!$B$4)*(A47/1000)</f>
        <v/>
      </c>
      <c r="F47" s="13" t="inlineStr">
        <is>
          <t>⚠ 외삽 (측정 밖)</t>
        </is>
      </c>
    </row>
    <row r="48">
      <c r="A48" s="7" t="n">
        <v>1.87</v>
      </c>
      <c r="B48" s="12">
        <f>1000/A48</f>
        <v/>
      </c>
      <c r="C48" s="10">
        <f>Params!$E$8-(Params!$D$8/Params!$B$4)*(A48/1000)</f>
        <v/>
      </c>
      <c r="D48" s="10">
        <f>Params!$E$9-(Params!$D$9/Params!$B$4)*(A48/1000)</f>
        <v/>
      </c>
      <c r="E48" s="10">
        <f>Params!$E$10-(Params!$D$10/Params!$B$4)*(A48/1000)</f>
        <v/>
      </c>
      <c r="F48" s="13" t="inlineStr">
        <is>
          <t>⚠ 외삽 (측정 밖)</t>
        </is>
      </c>
    </row>
    <row r="49">
      <c r="A49" s="7" t="n">
        <v>1.89</v>
      </c>
      <c r="B49" s="12">
        <f>1000/A49</f>
        <v/>
      </c>
      <c r="C49" s="10">
        <f>Params!$E$8-(Params!$D$8/Params!$B$4)*(A49/1000)</f>
        <v/>
      </c>
      <c r="D49" s="10">
        <f>Params!$E$9-(Params!$D$9/Params!$B$4)*(A49/1000)</f>
        <v/>
      </c>
      <c r="E49" s="10">
        <f>Params!$E$10-(Params!$D$10/Params!$B$4)*(A49/1000)</f>
        <v/>
      </c>
      <c r="F49" s="13" t="inlineStr">
        <is>
          <t>⚠ 외삽 (측정 밖)</t>
        </is>
      </c>
    </row>
    <row r="50">
      <c r="A50" s="7" t="n">
        <v>1.91</v>
      </c>
      <c r="B50" s="12">
        <f>1000/A50</f>
        <v/>
      </c>
      <c r="C50" s="10">
        <f>Params!$E$8-(Params!$D$8/Params!$B$4)*(A50/1000)</f>
        <v/>
      </c>
      <c r="D50" s="10">
        <f>Params!$E$9-(Params!$D$9/Params!$B$4)*(A50/1000)</f>
        <v/>
      </c>
      <c r="E50" s="10">
        <f>Params!$E$10-(Params!$D$10/Params!$B$4)*(A50/1000)</f>
        <v/>
      </c>
      <c r="F50" s="13" t="inlineStr">
        <is>
          <t>⚠ 외삽 (측정 밖)</t>
        </is>
      </c>
    </row>
    <row r="51">
      <c r="A51" s="7" t="n">
        <v>1.93</v>
      </c>
      <c r="B51" s="12">
        <f>1000/A51</f>
        <v/>
      </c>
      <c r="C51" s="10">
        <f>Params!$E$8-(Params!$D$8/Params!$B$4)*(A51/1000)</f>
        <v/>
      </c>
      <c r="D51" s="10">
        <f>Params!$E$9-(Params!$D$9/Params!$B$4)*(A51/1000)</f>
        <v/>
      </c>
      <c r="E51" s="10">
        <f>Params!$E$10-(Params!$D$10/Params!$B$4)*(A51/1000)</f>
        <v/>
      </c>
      <c r="F51" s="13" t="inlineStr">
        <is>
          <t>⚠ 외삽 (측정 밖)</t>
        </is>
      </c>
    </row>
    <row r="52">
      <c r="A52" s="7" t="n">
        <v>1.95</v>
      </c>
      <c r="B52" s="12">
        <f>1000/A52</f>
        <v/>
      </c>
      <c r="C52" s="10">
        <f>Params!$E$8-(Params!$D$8/Params!$B$4)*(A52/1000)</f>
        <v/>
      </c>
      <c r="D52" s="10">
        <f>Params!$E$9-(Params!$D$9/Params!$B$4)*(A52/1000)</f>
        <v/>
      </c>
      <c r="E52" s="10">
        <f>Params!$E$10-(Params!$D$10/Params!$B$4)*(A52/1000)</f>
        <v/>
      </c>
      <c r="F52" s="13" t="inlineStr">
        <is>
          <t>⚠ 외삽 (측정 밖)</t>
        </is>
      </c>
    </row>
    <row r="53">
      <c r="A53" s="7" t="n">
        <v>1.97</v>
      </c>
      <c r="B53" s="12">
        <f>1000/A53</f>
        <v/>
      </c>
      <c r="C53" s="10">
        <f>Params!$E$8-(Params!$D$8/Params!$B$4)*(A53/1000)</f>
        <v/>
      </c>
      <c r="D53" s="10">
        <f>Params!$E$9-(Params!$D$9/Params!$B$4)*(A53/1000)</f>
        <v/>
      </c>
      <c r="E53" s="10">
        <f>Params!$E$10-(Params!$D$10/Params!$B$4)*(A53/1000)</f>
        <v/>
      </c>
      <c r="F53" s="13" t="inlineStr">
        <is>
          <t>⚠ 외삽 (측정 밖)</t>
        </is>
      </c>
    </row>
    <row r="54">
      <c r="A54" s="7" t="n">
        <v>1.99</v>
      </c>
      <c r="B54" s="12">
        <f>1000/A54</f>
        <v/>
      </c>
      <c r="C54" s="10">
        <f>Params!$E$8-(Params!$D$8/Params!$B$4)*(A54/1000)</f>
        <v/>
      </c>
      <c r="D54" s="10">
        <f>Params!$E$9-(Params!$D$9/Params!$B$4)*(A54/1000)</f>
        <v/>
      </c>
      <c r="E54" s="10">
        <f>Params!$E$10-(Params!$D$10/Params!$B$4)*(A54/1000)</f>
        <v/>
      </c>
      <c r="F54" s="13" t="inlineStr">
        <is>
          <t>⚠ 외삽 (측정 밖)</t>
        </is>
      </c>
    </row>
    <row r="55">
      <c r="A55" s="7" t="n">
        <v>2.01</v>
      </c>
      <c r="B55" s="12">
        <f>1000/A55</f>
        <v/>
      </c>
      <c r="C55" s="10">
        <f>Params!$E$8-(Params!$D$8/Params!$B$4)*(A55/1000)</f>
        <v/>
      </c>
      <c r="D55" s="10">
        <f>Params!$E$9-(Params!$D$9/Params!$B$4)*(A55/1000)</f>
        <v/>
      </c>
      <c r="E55" s="10">
        <f>Params!$E$10-(Params!$D$10/Params!$B$4)*(A55/1000)</f>
        <v/>
      </c>
      <c r="F55" s="13" t="inlineStr">
        <is>
          <t>⚠ 외삽 (측정 밖)</t>
        </is>
      </c>
    </row>
    <row r="56">
      <c r="A56" s="7" t="n">
        <v>2.03</v>
      </c>
      <c r="B56" s="12">
        <f>1000/A56</f>
        <v/>
      </c>
      <c r="C56" s="10">
        <f>Params!$E$8-(Params!$D$8/Params!$B$4)*(A56/1000)</f>
        <v/>
      </c>
      <c r="D56" s="10">
        <f>Params!$E$9-(Params!$D$9/Params!$B$4)*(A56/1000)</f>
        <v/>
      </c>
      <c r="E56" s="10">
        <f>Params!$E$10-(Params!$D$10/Params!$B$4)*(A56/1000)</f>
        <v/>
      </c>
      <c r="F56" s="13" t="inlineStr">
        <is>
          <t>⚠ 외삽 (측정 밖)</t>
        </is>
      </c>
    </row>
    <row r="57">
      <c r="A57" s="7" t="n">
        <v>2.05</v>
      </c>
      <c r="B57" s="12">
        <f>1000/A57</f>
        <v/>
      </c>
      <c r="C57" s="10">
        <f>Params!$E$8-(Params!$D$8/Params!$B$4)*(A57/1000)</f>
        <v/>
      </c>
      <c r="D57" s="10">
        <f>Params!$E$9-(Params!$D$9/Params!$B$4)*(A57/1000)</f>
        <v/>
      </c>
      <c r="E57" s="10">
        <f>Params!$E$10-(Params!$D$10/Params!$B$4)*(A57/1000)</f>
        <v/>
      </c>
      <c r="F57" s="13" t="inlineStr">
        <is>
          <t>⚠ 외삽 (측정 밖)</t>
        </is>
      </c>
    </row>
    <row r="58">
      <c r="A58" s="7" t="n">
        <v>2.07</v>
      </c>
      <c r="B58" s="12">
        <f>1000/A58</f>
        <v/>
      </c>
      <c r="C58" s="10">
        <f>Params!$E$8-(Params!$D$8/Params!$B$4)*(A58/1000)</f>
        <v/>
      </c>
      <c r="D58" s="10">
        <f>Params!$E$9-(Params!$D$9/Params!$B$4)*(A58/1000)</f>
        <v/>
      </c>
      <c r="E58" s="10">
        <f>Params!$E$10-(Params!$D$10/Params!$B$4)*(A58/1000)</f>
        <v/>
      </c>
      <c r="F58" s="13" t="inlineStr">
        <is>
          <t>⚠ 외삽 (측정 밖)</t>
        </is>
      </c>
    </row>
    <row r="59">
      <c r="A59" s="7" t="n">
        <v>2.09</v>
      </c>
      <c r="B59" s="12">
        <f>1000/A59</f>
        <v/>
      </c>
      <c r="C59" s="10">
        <f>Params!$E$8-(Params!$D$8/Params!$B$4)*(A59/1000)</f>
        <v/>
      </c>
      <c r="D59" s="10">
        <f>Params!$E$9-(Params!$D$9/Params!$B$4)*(A59/1000)</f>
        <v/>
      </c>
      <c r="E59" s="10">
        <f>Params!$E$10-(Params!$D$10/Params!$B$4)*(A59/1000)</f>
        <v/>
      </c>
      <c r="F59" s="13" t="inlineStr">
        <is>
          <t>⚠ 외삽 (측정 밖)</t>
        </is>
      </c>
    </row>
    <row r="60">
      <c r="A60" s="7" t="n">
        <v>2.11</v>
      </c>
      <c r="B60" s="12">
        <f>1000/A60</f>
        <v/>
      </c>
      <c r="C60" s="10">
        <f>Params!$E$8-(Params!$D$8/Params!$B$4)*(A60/1000)</f>
        <v/>
      </c>
      <c r="D60" s="10">
        <f>Params!$E$9-(Params!$D$9/Params!$B$4)*(A60/1000)</f>
        <v/>
      </c>
      <c r="E60" s="10">
        <f>Params!$E$10-(Params!$D$10/Params!$B$4)*(A60/1000)</f>
        <v/>
      </c>
      <c r="F60" s="13" t="inlineStr">
        <is>
          <t>⚠ 외삽 (측정 밖)</t>
        </is>
      </c>
    </row>
    <row r="61">
      <c r="A61" s="7" t="n">
        <v>2.13</v>
      </c>
      <c r="B61" s="12">
        <f>1000/A61</f>
        <v/>
      </c>
      <c r="C61" s="10">
        <f>Params!$E$8-(Params!$D$8/Params!$B$4)*(A61/1000)</f>
        <v/>
      </c>
      <c r="D61" s="10">
        <f>Params!$E$9-(Params!$D$9/Params!$B$4)*(A61/1000)</f>
        <v/>
      </c>
      <c r="E61" s="10">
        <f>Params!$E$10-(Params!$D$10/Params!$B$4)*(A61/1000)</f>
        <v/>
      </c>
      <c r="F61" s="13" t="inlineStr">
        <is>
          <t>⚠ 외삽 (측정 밖)</t>
        </is>
      </c>
    </row>
    <row r="62">
      <c r="A62" s="7" t="n">
        <v>2.15</v>
      </c>
      <c r="B62" s="12">
        <f>1000/A62</f>
        <v/>
      </c>
      <c r="C62" s="10">
        <f>Params!$E$8-(Params!$D$8/Params!$B$4)*(A62/1000)</f>
        <v/>
      </c>
      <c r="D62" s="10">
        <f>Params!$E$9-(Params!$D$9/Params!$B$4)*(A62/1000)</f>
        <v/>
      </c>
      <c r="E62" s="10">
        <f>Params!$E$10-(Params!$D$10/Params!$B$4)*(A62/1000)</f>
        <v/>
      </c>
      <c r="F62" s="13" t="inlineStr">
        <is>
          <t>⚠ 외삽 (측정 밖)</t>
        </is>
      </c>
    </row>
    <row r="63">
      <c r="A63" s="7" t="n">
        <v>2.17</v>
      </c>
      <c r="B63" s="12">
        <f>1000/A63</f>
        <v/>
      </c>
      <c r="C63" s="10">
        <f>Params!$E$8-(Params!$D$8/Params!$B$4)*(A63/1000)</f>
        <v/>
      </c>
      <c r="D63" s="10">
        <f>Params!$E$9-(Params!$D$9/Params!$B$4)*(A63/1000)</f>
        <v/>
      </c>
      <c r="E63" s="10">
        <f>Params!$E$10-(Params!$D$10/Params!$B$4)*(A63/1000)</f>
        <v/>
      </c>
      <c r="F63" s="13" t="inlineStr">
        <is>
          <t>⚠ 외삽 (측정 밖)</t>
        </is>
      </c>
    </row>
    <row r="64">
      <c r="A64" s="7" t="n">
        <v>2.19</v>
      </c>
      <c r="B64" s="12">
        <f>1000/A64</f>
        <v/>
      </c>
      <c r="C64" s="10">
        <f>Params!$E$8-(Params!$D$8/Params!$B$4)*(A64/1000)</f>
        <v/>
      </c>
      <c r="D64" s="10">
        <f>Params!$E$9-(Params!$D$9/Params!$B$4)*(A64/1000)</f>
        <v/>
      </c>
      <c r="E64" s="10">
        <f>Params!$E$10-(Params!$D$10/Params!$B$4)*(A64/1000)</f>
        <v/>
      </c>
      <c r="F64" s="13" t="inlineStr">
        <is>
          <t>⚠ 외삽 (측정 밖)</t>
        </is>
      </c>
    </row>
    <row r="65">
      <c r="A65" s="7" t="n">
        <v>2.21</v>
      </c>
      <c r="B65" s="12">
        <f>1000/A65</f>
        <v/>
      </c>
      <c r="C65" s="10">
        <f>Params!$E$8-(Params!$D$8/Params!$B$4)*(A65/1000)</f>
        <v/>
      </c>
      <c r="D65" s="10">
        <f>Params!$E$9-(Params!$D$9/Params!$B$4)*(A65/1000)</f>
        <v/>
      </c>
      <c r="E65" s="10">
        <f>Params!$E$10-(Params!$D$10/Params!$B$4)*(A65/1000)</f>
        <v/>
      </c>
      <c r="F65" s="13" t="inlineStr">
        <is>
          <t>⚠ 외삽 (측정 밖)</t>
        </is>
      </c>
    </row>
    <row r="66">
      <c r="A66" s="7" t="n">
        <v>2.23</v>
      </c>
      <c r="B66" s="12">
        <f>1000/A66</f>
        <v/>
      </c>
      <c r="C66" s="10">
        <f>Params!$E$8-(Params!$D$8/Params!$B$4)*(A66/1000)</f>
        <v/>
      </c>
      <c r="D66" s="10">
        <f>Params!$E$9-(Params!$D$9/Params!$B$4)*(A66/1000)</f>
        <v/>
      </c>
      <c r="E66" s="10">
        <f>Params!$E$10-(Params!$D$10/Params!$B$4)*(A66/1000)</f>
        <v/>
      </c>
      <c r="F66" s="13" t="inlineStr">
        <is>
          <t>⚠ 외삽 (측정 밖)</t>
        </is>
      </c>
    </row>
    <row r="67">
      <c r="A67" s="7" t="n">
        <v>2.25</v>
      </c>
      <c r="B67" s="12">
        <f>1000/A67</f>
        <v/>
      </c>
      <c r="C67" s="10">
        <f>Params!$E$8-(Params!$D$8/Params!$B$4)*(A67/1000)</f>
        <v/>
      </c>
      <c r="D67" s="10">
        <f>Params!$E$9-(Params!$D$9/Params!$B$4)*(A67/1000)</f>
        <v/>
      </c>
      <c r="E67" s="10">
        <f>Params!$E$10-(Params!$D$10/Params!$B$4)*(A67/1000)</f>
        <v/>
      </c>
      <c r="F67" s="13" t="inlineStr">
        <is>
          <t>⚠ 외삽 (측정 밖)</t>
        </is>
      </c>
    </row>
    <row r="68">
      <c r="A68" s="7" t="n">
        <v>2.27</v>
      </c>
      <c r="B68" s="12">
        <f>1000/A68</f>
        <v/>
      </c>
      <c r="C68" s="10">
        <f>Params!$E$8-(Params!$D$8/Params!$B$4)*(A68/1000)</f>
        <v/>
      </c>
      <c r="D68" s="10">
        <f>Params!$E$9-(Params!$D$9/Params!$B$4)*(A68/1000)</f>
        <v/>
      </c>
      <c r="E68" s="10">
        <f>Params!$E$10-(Params!$D$10/Params!$B$4)*(A68/1000)</f>
        <v/>
      </c>
      <c r="F68" s="13" t="inlineStr">
        <is>
          <t>⚠ 외삽 (측정 밖)</t>
        </is>
      </c>
    </row>
    <row r="69">
      <c r="A69" s="7" t="n">
        <v>2.29</v>
      </c>
      <c r="B69" s="12">
        <f>1000/A69</f>
        <v/>
      </c>
      <c r="C69" s="10">
        <f>Params!$E$8-(Params!$D$8/Params!$B$4)*(A69/1000)</f>
        <v/>
      </c>
      <c r="D69" s="10">
        <f>Params!$E$9-(Params!$D$9/Params!$B$4)*(A69/1000)</f>
        <v/>
      </c>
      <c r="E69" s="10">
        <f>Params!$E$10-(Params!$D$10/Params!$B$4)*(A69/1000)</f>
        <v/>
      </c>
      <c r="F69" s="13" t="inlineStr">
        <is>
          <t>⚠ 외삽 (측정 밖)</t>
        </is>
      </c>
    </row>
    <row r="70">
      <c r="A70" s="7" t="n">
        <v>2.31</v>
      </c>
      <c r="B70" s="12">
        <f>1000/A70</f>
        <v/>
      </c>
      <c r="C70" s="10">
        <f>Params!$E$8-(Params!$D$8/Params!$B$4)*(A70/1000)</f>
        <v/>
      </c>
      <c r="D70" s="10">
        <f>Params!$E$9-(Params!$D$9/Params!$B$4)*(A70/1000)</f>
        <v/>
      </c>
      <c r="E70" s="10">
        <f>Params!$E$10-(Params!$D$10/Params!$B$4)*(A70/1000)</f>
        <v/>
      </c>
      <c r="F70" s="13" t="inlineStr">
        <is>
          <t>⚠ 외삽 (측정 밖)</t>
        </is>
      </c>
    </row>
    <row r="71">
      <c r="A71" s="7" t="n">
        <v>2.33</v>
      </c>
      <c r="B71" s="12">
        <f>1000/A71</f>
        <v/>
      </c>
      <c r="C71" s="10">
        <f>Params!$E$8-(Params!$D$8/Params!$B$4)*(A71/1000)</f>
        <v/>
      </c>
      <c r="D71" s="10">
        <f>Params!$E$9-(Params!$D$9/Params!$B$4)*(A71/1000)</f>
        <v/>
      </c>
      <c r="E71" s="10">
        <f>Params!$E$10-(Params!$D$10/Params!$B$4)*(A71/1000)</f>
        <v/>
      </c>
      <c r="F71" s="13" t="inlineStr">
        <is>
          <t>⚠ 외삽 (측정 밖)</t>
        </is>
      </c>
    </row>
    <row r="72">
      <c r="A72" s="7" t="n">
        <v>2.35</v>
      </c>
      <c r="B72" s="12">
        <f>1000/A72</f>
        <v/>
      </c>
      <c r="C72" s="10">
        <f>Params!$E$8-(Params!$D$8/Params!$B$4)*(A72/1000)</f>
        <v/>
      </c>
      <c r="D72" s="10">
        <f>Params!$E$9-(Params!$D$9/Params!$B$4)*(A72/1000)</f>
        <v/>
      </c>
      <c r="E72" s="10">
        <f>Params!$E$10-(Params!$D$10/Params!$B$4)*(A72/1000)</f>
        <v/>
      </c>
      <c r="F72" s="13" t="inlineStr">
        <is>
          <t>⚠ 외삽 (측정 밖)</t>
        </is>
      </c>
    </row>
    <row r="73">
      <c r="A73" s="7" t="n">
        <v>2.37</v>
      </c>
      <c r="B73" s="12">
        <f>1000/A73</f>
        <v/>
      </c>
      <c r="C73" s="10">
        <f>Params!$E$8-(Params!$D$8/Params!$B$4)*(A73/1000)</f>
        <v/>
      </c>
      <c r="D73" s="10">
        <f>Params!$E$9-(Params!$D$9/Params!$B$4)*(A73/1000)</f>
        <v/>
      </c>
      <c r="E73" s="10">
        <f>Params!$E$10-(Params!$D$10/Params!$B$4)*(A73/1000)</f>
        <v/>
      </c>
      <c r="F73" s="13" t="inlineStr">
        <is>
          <t>⚠ 외삽 (측정 밖)</t>
        </is>
      </c>
    </row>
    <row r="74">
      <c r="A74" s="7" t="n">
        <v>2.39</v>
      </c>
      <c r="B74" s="12">
        <f>1000/A74</f>
        <v/>
      </c>
      <c r="C74" s="10">
        <f>Params!$E$8-(Params!$D$8/Params!$B$4)*(A74/1000)</f>
        <v/>
      </c>
      <c r="D74" s="10">
        <f>Params!$E$9-(Params!$D$9/Params!$B$4)*(A74/1000)</f>
        <v/>
      </c>
      <c r="E74" s="10">
        <f>Params!$E$10-(Params!$D$10/Params!$B$4)*(A74/1000)</f>
        <v/>
      </c>
      <c r="F74" s="13" t="inlineStr">
        <is>
          <t>⚠ 외삽 (측정 밖)</t>
        </is>
      </c>
    </row>
    <row r="75">
      <c r="A75" s="7" t="n">
        <v>2.41</v>
      </c>
      <c r="B75" s="12">
        <f>1000/A75</f>
        <v/>
      </c>
      <c r="C75" s="10">
        <f>Params!$E$8-(Params!$D$8/Params!$B$4)*(A75/1000)</f>
        <v/>
      </c>
      <c r="D75" s="10">
        <f>Params!$E$9-(Params!$D$9/Params!$B$4)*(A75/1000)</f>
        <v/>
      </c>
      <c r="E75" s="10">
        <f>Params!$E$10-(Params!$D$10/Params!$B$4)*(A75/1000)</f>
        <v/>
      </c>
      <c r="F75" s="13" t="inlineStr">
        <is>
          <t>⚠ 외삽 (측정 밖)</t>
        </is>
      </c>
    </row>
    <row r="76">
      <c r="A76" s="7" t="n">
        <v>2.43</v>
      </c>
      <c r="B76" s="12">
        <f>1000/A76</f>
        <v/>
      </c>
      <c r="C76" s="10">
        <f>Params!$E$8-(Params!$D$8/Params!$B$4)*(A76/1000)</f>
        <v/>
      </c>
      <c r="D76" s="10">
        <f>Params!$E$9-(Params!$D$9/Params!$B$4)*(A76/1000)</f>
        <v/>
      </c>
      <c r="E76" s="10">
        <f>Params!$E$10-(Params!$D$10/Params!$B$4)*(A76/1000)</f>
        <v/>
      </c>
      <c r="F76" s="13" t="inlineStr">
        <is>
          <t>⚠ 외삽 (측정 밖)</t>
        </is>
      </c>
    </row>
    <row r="77">
      <c r="A77" s="7" t="n">
        <v>2.45</v>
      </c>
      <c r="B77" s="12">
        <f>1000/A77</f>
        <v/>
      </c>
      <c r="C77" s="10">
        <f>Params!$E$8-(Params!$D$8/Params!$B$4)*(A77/1000)</f>
        <v/>
      </c>
      <c r="D77" s="10">
        <f>Params!$E$9-(Params!$D$9/Params!$B$4)*(A77/1000)</f>
        <v/>
      </c>
      <c r="E77" s="10">
        <f>Params!$E$10-(Params!$D$10/Params!$B$4)*(A77/1000)</f>
        <v/>
      </c>
      <c r="F77" s="13" t="inlineStr">
        <is>
          <t>⚠ 외삽 (측정 밖)</t>
        </is>
      </c>
    </row>
    <row r="78">
      <c r="A78" s="7" t="n">
        <v>2.47</v>
      </c>
      <c r="B78" s="12">
        <f>1000/A78</f>
        <v/>
      </c>
      <c r="C78" s="10">
        <f>Params!$E$8-(Params!$D$8/Params!$B$4)*(A78/1000)</f>
        <v/>
      </c>
      <c r="D78" s="10">
        <f>Params!$E$9-(Params!$D$9/Params!$B$4)*(A78/1000)</f>
        <v/>
      </c>
      <c r="E78" s="10">
        <f>Params!$E$10-(Params!$D$10/Params!$B$4)*(A78/1000)</f>
        <v/>
      </c>
      <c r="F78" s="13" t="inlineStr">
        <is>
          <t>⚠ 외삽 (측정 밖)</t>
        </is>
      </c>
    </row>
    <row r="79">
      <c r="A79" s="7" t="n">
        <v>2.49</v>
      </c>
      <c r="B79" s="12">
        <f>1000/A79</f>
        <v/>
      </c>
      <c r="C79" s="10">
        <f>Params!$E$8-(Params!$D$8/Params!$B$4)*(A79/1000)</f>
        <v/>
      </c>
      <c r="D79" s="10">
        <f>Params!$E$9-(Params!$D$9/Params!$B$4)*(A79/1000)</f>
        <v/>
      </c>
      <c r="E79" s="10">
        <f>Params!$E$10-(Params!$D$10/Params!$B$4)*(A79/1000)</f>
        <v/>
      </c>
      <c r="F79" s="13" t="inlineStr">
        <is>
          <t>⚠ 외삽 (측정 밖)</t>
        </is>
      </c>
    </row>
    <row r="80">
      <c r="A80" s="7" t="n">
        <v>2.51</v>
      </c>
      <c r="B80" s="12">
        <f>1000/A80</f>
        <v/>
      </c>
      <c r="C80" s="10">
        <f>Params!$E$8-(Params!$D$8/Params!$B$4)*(A80/1000)</f>
        <v/>
      </c>
      <c r="D80" s="10">
        <f>Params!$E$9-(Params!$D$9/Params!$B$4)*(A80/1000)</f>
        <v/>
      </c>
      <c r="E80" s="10">
        <f>Params!$E$10-(Params!$D$10/Params!$B$4)*(A80/1000)</f>
        <v/>
      </c>
      <c r="F80" s="13" t="inlineStr">
        <is>
          <t>⚠ 외삽 (측정 밖)</t>
        </is>
      </c>
    </row>
    <row r="81">
      <c r="A81" s="7" t="n">
        <v>2.53</v>
      </c>
      <c r="B81" s="12">
        <f>1000/A81</f>
        <v/>
      </c>
      <c r="C81" s="10">
        <f>Params!$E$8-(Params!$D$8/Params!$B$4)*(A81/1000)</f>
        <v/>
      </c>
      <c r="D81" s="10">
        <f>Params!$E$9-(Params!$D$9/Params!$B$4)*(A81/1000)</f>
        <v/>
      </c>
      <c r="E81" s="10">
        <f>Params!$E$10-(Params!$D$10/Params!$B$4)*(A81/1000)</f>
        <v/>
      </c>
      <c r="F81" s="13" t="inlineStr">
        <is>
          <t>⚠ 외삽 (측정 밖)</t>
        </is>
      </c>
    </row>
    <row r="82">
      <c r="A82" s="7" t="n">
        <v>2.55</v>
      </c>
      <c r="B82" s="12">
        <f>1000/A82</f>
        <v/>
      </c>
      <c r="C82" s="10">
        <f>Params!$E$8-(Params!$D$8/Params!$B$4)*(A82/1000)</f>
        <v/>
      </c>
      <c r="D82" s="10">
        <f>Params!$E$9-(Params!$D$9/Params!$B$4)*(A82/1000)</f>
        <v/>
      </c>
      <c r="E82" s="10">
        <f>Params!$E$10-(Params!$D$10/Params!$B$4)*(A82/1000)</f>
        <v/>
      </c>
      <c r="F82" s="13" t="inlineStr">
        <is>
          <t>⚠ 외삽 (측정 밖)</t>
        </is>
      </c>
    </row>
    <row r="83">
      <c r="A83" s="7" t="n">
        <v>2.57</v>
      </c>
      <c r="B83" s="12">
        <f>1000/A83</f>
        <v/>
      </c>
      <c r="C83" s="10">
        <f>Params!$E$8-(Params!$D$8/Params!$B$4)*(A83/1000)</f>
        <v/>
      </c>
      <c r="D83" s="10">
        <f>Params!$E$9-(Params!$D$9/Params!$B$4)*(A83/1000)</f>
        <v/>
      </c>
      <c r="E83" s="10">
        <f>Params!$E$10-(Params!$D$10/Params!$B$4)*(A83/1000)</f>
        <v/>
      </c>
      <c r="F83" s="13" t="inlineStr">
        <is>
          <t>⚠ 외삽 (측정 밖)</t>
        </is>
      </c>
    </row>
    <row r="84">
      <c r="A84" s="7" t="n">
        <v>2.59</v>
      </c>
      <c r="B84" s="12">
        <f>1000/A84</f>
        <v/>
      </c>
      <c r="C84" s="10">
        <f>Params!$E$8-(Params!$D$8/Params!$B$4)*(A84/1000)</f>
        <v/>
      </c>
      <c r="D84" s="10">
        <f>Params!$E$9-(Params!$D$9/Params!$B$4)*(A84/1000)</f>
        <v/>
      </c>
      <c r="E84" s="10">
        <f>Params!$E$10-(Params!$D$10/Params!$B$4)*(A84/1000)</f>
        <v/>
      </c>
      <c r="F84" s="13" t="inlineStr">
        <is>
          <t>⚠ 외삽 (측정 밖)</t>
        </is>
      </c>
    </row>
    <row r="85">
      <c r="A85" s="7" t="n">
        <v>2.61</v>
      </c>
      <c r="B85" s="12">
        <f>1000/A85</f>
        <v/>
      </c>
      <c r="C85" s="10">
        <f>Params!$E$8-(Params!$D$8/Params!$B$4)*(A85/1000)</f>
        <v/>
      </c>
      <c r="D85" s="10">
        <f>Params!$E$9-(Params!$D$9/Params!$B$4)*(A85/1000)</f>
        <v/>
      </c>
      <c r="E85" s="10">
        <f>Params!$E$10-(Params!$D$10/Params!$B$4)*(A85/1000)</f>
        <v/>
      </c>
      <c r="F85" s="13" t="inlineStr">
        <is>
          <t>⚠ 외삽 (측정 밖)</t>
        </is>
      </c>
    </row>
    <row r="86">
      <c r="A86" s="7" t="n">
        <v>2.63</v>
      </c>
      <c r="B86" s="12">
        <f>1000/A86</f>
        <v/>
      </c>
      <c r="C86" s="10">
        <f>Params!$E$8-(Params!$D$8/Params!$B$4)*(A86/1000)</f>
        <v/>
      </c>
      <c r="D86" s="10">
        <f>Params!$E$9-(Params!$D$9/Params!$B$4)*(A86/1000)</f>
        <v/>
      </c>
      <c r="E86" s="10">
        <f>Params!$E$10-(Params!$D$10/Params!$B$4)*(A86/1000)</f>
        <v/>
      </c>
      <c r="F86" s="13" t="inlineStr">
        <is>
          <t>⚠ 외삽 (측정 밖)</t>
        </is>
      </c>
    </row>
    <row r="87">
      <c r="A87" s="7" t="n">
        <v>2.65</v>
      </c>
      <c r="B87" s="12">
        <f>1000/A87</f>
        <v/>
      </c>
      <c r="C87" s="10">
        <f>Params!$E$8-(Params!$D$8/Params!$B$4)*(A87/1000)</f>
        <v/>
      </c>
      <c r="D87" s="10">
        <f>Params!$E$9-(Params!$D$9/Params!$B$4)*(A87/1000)</f>
        <v/>
      </c>
      <c r="E87" s="10">
        <f>Params!$E$10-(Params!$D$10/Params!$B$4)*(A87/1000)</f>
        <v/>
      </c>
      <c r="F87" s="13" t="inlineStr">
        <is>
          <t>⚠ 외삽 (측정 밖)</t>
        </is>
      </c>
    </row>
    <row r="88">
      <c r="A88" s="7" t="n">
        <v>2.67</v>
      </c>
      <c r="B88" s="12">
        <f>1000/A88</f>
        <v/>
      </c>
      <c r="C88" s="10">
        <f>Params!$E$8-(Params!$D$8/Params!$B$4)*(A88/1000)</f>
        <v/>
      </c>
      <c r="D88" s="10">
        <f>Params!$E$9-(Params!$D$9/Params!$B$4)*(A88/1000)</f>
        <v/>
      </c>
      <c r="E88" s="10">
        <f>Params!$E$10-(Params!$D$10/Params!$B$4)*(A88/1000)</f>
        <v/>
      </c>
      <c r="F88" s="13" t="inlineStr">
        <is>
          <t>⚠ 외삽 (측정 밖)</t>
        </is>
      </c>
    </row>
    <row r="89">
      <c r="A89" s="7" t="n">
        <v>2.69</v>
      </c>
      <c r="B89" s="12">
        <f>1000/A89</f>
        <v/>
      </c>
      <c r="C89" s="10">
        <f>Params!$E$8-(Params!$D$8/Params!$B$4)*(A89/1000)</f>
        <v/>
      </c>
      <c r="D89" s="10">
        <f>Params!$E$9-(Params!$D$9/Params!$B$4)*(A89/1000)</f>
        <v/>
      </c>
      <c r="E89" s="10">
        <f>Params!$E$10-(Params!$D$10/Params!$B$4)*(A89/1000)</f>
        <v/>
      </c>
      <c r="F89" s="13" t="inlineStr">
        <is>
          <t>⚠ 외삽 (측정 밖)</t>
        </is>
      </c>
    </row>
    <row r="90">
      <c r="A90" s="7" t="n">
        <v>2.71</v>
      </c>
      <c r="B90" s="12">
        <f>1000/A90</f>
        <v/>
      </c>
      <c r="C90" s="10">
        <f>Params!$E$8-(Params!$D$8/Params!$B$4)*(A90/1000)</f>
        <v/>
      </c>
      <c r="D90" s="10">
        <f>Params!$E$9-(Params!$D$9/Params!$B$4)*(A90/1000)</f>
        <v/>
      </c>
      <c r="E90" s="10">
        <f>Params!$E$10-(Params!$D$10/Params!$B$4)*(A90/1000)</f>
        <v/>
      </c>
      <c r="F90" s="13" t="inlineStr">
        <is>
          <t>⚠ 외삽 (측정 밖)</t>
        </is>
      </c>
    </row>
    <row r="91">
      <c r="A91" s="7" t="n">
        <v>2.73</v>
      </c>
      <c r="B91" s="12">
        <f>1000/A91</f>
        <v/>
      </c>
      <c r="C91" s="10">
        <f>Params!$E$8-(Params!$D$8/Params!$B$4)*(A91/1000)</f>
        <v/>
      </c>
      <c r="D91" s="10">
        <f>Params!$E$9-(Params!$D$9/Params!$B$4)*(A91/1000)</f>
        <v/>
      </c>
      <c r="E91" s="10">
        <f>Params!$E$10-(Params!$D$10/Params!$B$4)*(A91/1000)</f>
        <v/>
      </c>
      <c r="F91" s="13" t="inlineStr">
        <is>
          <t>⚠ 외삽 (측정 밖)</t>
        </is>
      </c>
    </row>
    <row r="92">
      <c r="A92" s="7" t="n">
        <v>2.75</v>
      </c>
      <c r="B92" s="12">
        <f>1000/A92</f>
        <v/>
      </c>
      <c r="C92" s="10">
        <f>Params!$E$8-(Params!$D$8/Params!$B$4)*(A92/1000)</f>
        <v/>
      </c>
      <c r="D92" s="10">
        <f>Params!$E$9-(Params!$D$9/Params!$B$4)*(A92/1000)</f>
        <v/>
      </c>
      <c r="E92" s="10">
        <f>Params!$E$10-(Params!$D$10/Params!$B$4)*(A92/1000)</f>
        <v/>
      </c>
      <c r="F92" s="13" t="inlineStr">
        <is>
          <t>⚠ 외삽 (측정 밖)</t>
        </is>
      </c>
    </row>
    <row r="93">
      <c r="A93" s="7" t="n">
        <v>2.77</v>
      </c>
      <c r="B93" s="12">
        <f>1000/A93</f>
        <v/>
      </c>
      <c r="C93" s="10">
        <f>Params!$E$8-(Params!$D$8/Params!$B$4)*(A93/1000)</f>
        <v/>
      </c>
      <c r="D93" s="10">
        <f>Params!$E$9-(Params!$D$9/Params!$B$4)*(A93/1000)</f>
        <v/>
      </c>
      <c r="E93" s="10">
        <f>Params!$E$10-(Params!$D$10/Params!$B$4)*(A93/1000)</f>
        <v/>
      </c>
      <c r="F93" s="13" t="inlineStr">
        <is>
          <t>⚠ 외삽 (측정 밖)</t>
        </is>
      </c>
    </row>
    <row r="94">
      <c r="A94" s="7" t="n">
        <v>2.79</v>
      </c>
      <c r="B94" s="12">
        <f>1000/A94</f>
        <v/>
      </c>
      <c r="C94" s="10">
        <f>Params!$E$8-(Params!$D$8/Params!$B$4)*(A94/1000)</f>
        <v/>
      </c>
      <c r="D94" s="10">
        <f>Params!$E$9-(Params!$D$9/Params!$B$4)*(A94/1000)</f>
        <v/>
      </c>
      <c r="E94" s="10">
        <f>Params!$E$10-(Params!$D$10/Params!$B$4)*(A94/1000)</f>
        <v/>
      </c>
      <c r="F94" s="13" t="inlineStr">
        <is>
          <t>⚠ 외삽 (측정 밖)</t>
        </is>
      </c>
    </row>
    <row r="95">
      <c r="A95" s="7" t="n">
        <v>2.81</v>
      </c>
      <c r="B95" s="12">
        <f>1000/A95</f>
        <v/>
      </c>
      <c r="C95" s="10">
        <f>Params!$E$8-(Params!$D$8/Params!$B$4)*(A95/1000)</f>
        <v/>
      </c>
      <c r="D95" s="10">
        <f>Params!$E$9-(Params!$D$9/Params!$B$4)*(A95/1000)</f>
        <v/>
      </c>
      <c r="E95" s="10">
        <f>Params!$E$10-(Params!$D$10/Params!$B$4)*(A95/1000)</f>
        <v/>
      </c>
      <c r="F95" s="13" t="inlineStr">
        <is>
          <t>⚠ 외삽 (측정 밖)</t>
        </is>
      </c>
    </row>
    <row r="96">
      <c r="A96" s="7" t="n">
        <v>2.83</v>
      </c>
      <c r="B96" s="12">
        <f>1000/A96</f>
        <v/>
      </c>
      <c r="C96" s="10">
        <f>Params!$E$8-(Params!$D$8/Params!$B$4)*(A96/1000)</f>
        <v/>
      </c>
      <c r="D96" s="10">
        <f>Params!$E$9-(Params!$D$9/Params!$B$4)*(A96/1000)</f>
        <v/>
      </c>
      <c r="E96" s="10">
        <f>Params!$E$10-(Params!$D$10/Params!$B$4)*(A96/1000)</f>
        <v/>
      </c>
      <c r="F96" s="13" t="inlineStr">
        <is>
          <t>⚠ 외삽 (측정 밖)</t>
        </is>
      </c>
    </row>
    <row r="97">
      <c r="A97" s="7" t="n">
        <v>2.85</v>
      </c>
      <c r="B97" s="12">
        <f>1000/A97</f>
        <v/>
      </c>
      <c r="C97" s="10">
        <f>Params!$E$8-(Params!$D$8/Params!$B$4)*(A97/1000)</f>
        <v/>
      </c>
      <c r="D97" s="10">
        <f>Params!$E$9-(Params!$D$9/Params!$B$4)*(A97/1000)</f>
        <v/>
      </c>
      <c r="E97" s="10">
        <f>Params!$E$10-(Params!$D$10/Params!$B$4)*(A97/1000)</f>
        <v/>
      </c>
      <c r="F97" s="13" t="inlineStr">
        <is>
          <t>⚠ 외삽 (측정 밖)</t>
        </is>
      </c>
    </row>
    <row r="98">
      <c r="A98" s="7" t="n">
        <v>2.87</v>
      </c>
      <c r="B98" s="12">
        <f>1000/A98</f>
        <v/>
      </c>
      <c r="C98" s="10">
        <f>Params!$E$8-(Params!$D$8/Params!$B$4)*(A98/1000)</f>
        <v/>
      </c>
      <c r="D98" s="10">
        <f>Params!$E$9-(Params!$D$9/Params!$B$4)*(A98/1000)</f>
        <v/>
      </c>
      <c r="E98" s="10">
        <f>Params!$E$10-(Params!$D$10/Params!$B$4)*(A98/1000)</f>
        <v/>
      </c>
      <c r="F98" s="13" t="inlineStr">
        <is>
          <t>⚠ 외삽 (측정 밖)</t>
        </is>
      </c>
    </row>
    <row r="99">
      <c r="A99" s="7" t="n">
        <v>2.89</v>
      </c>
      <c r="B99" s="12">
        <f>1000/A99</f>
        <v/>
      </c>
      <c r="C99" s="10">
        <f>Params!$E$8-(Params!$D$8/Params!$B$4)*(A99/1000)</f>
        <v/>
      </c>
      <c r="D99" s="10">
        <f>Params!$E$9-(Params!$D$9/Params!$B$4)*(A99/1000)</f>
        <v/>
      </c>
      <c r="E99" s="10">
        <f>Params!$E$10-(Params!$D$10/Params!$B$4)*(A99/1000)</f>
        <v/>
      </c>
      <c r="F99" s="13" t="inlineStr">
        <is>
          <t>⚠ 외삽 (측정 밖)</t>
        </is>
      </c>
    </row>
    <row r="100">
      <c r="A100" s="7" t="n">
        <v>2.91</v>
      </c>
      <c r="B100" s="12">
        <f>1000/A100</f>
        <v/>
      </c>
      <c r="C100" s="10">
        <f>Params!$E$8-(Params!$D$8/Params!$B$4)*(A100/1000)</f>
        <v/>
      </c>
      <c r="D100" s="10">
        <f>Params!$E$9-(Params!$D$9/Params!$B$4)*(A100/1000)</f>
        <v/>
      </c>
      <c r="E100" s="10">
        <f>Params!$E$10-(Params!$D$10/Params!$B$4)*(A100/1000)</f>
        <v/>
      </c>
      <c r="F100" s="13" t="inlineStr">
        <is>
          <t>⚠ 외삽 (측정 밖)</t>
        </is>
      </c>
    </row>
    <row r="101">
      <c r="A101" s="7" t="n">
        <v>2.93</v>
      </c>
      <c r="B101" s="12">
        <f>1000/A101</f>
        <v/>
      </c>
      <c r="C101" s="10">
        <f>Params!$E$8-(Params!$D$8/Params!$B$4)*(A101/1000)</f>
        <v/>
      </c>
      <c r="D101" s="10">
        <f>Params!$E$9-(Params!$D$9/Params!$B$4)*(A101/1000)</f>
        <v/>
      </c>
      <c r="E101" s="10">
        <f>Params!$E$10-(Params!$D$10/Params!$B$4)*(A101/1000)</f>
        <v/>
      </c>
      <c r="F101" s="13" t="inlineStr">
        <is>
          <t>⚠ 외삽 (측정 밖)</t>
        </is>
      </c>
    </row>
    <row r="102">
      <c r="A102" s="7" t="n">
        <v>2.95</v>
      </c>
      <c r="B102" s="12">
        <f>1000/A102</f>
        <v/>
      </c>
      <c r="C102" s="10">
        <f>Params!$E$8-(Params!$D$8/Params!$B$4)*(A102/1000)</f>
        <v/>
      </c>
      <c r="D102" s="10">
        <f>Params!$E$9-(Params!$D$9/Params!$B$4)*(A102/1000)</f>
        <v/>
      </c>
      <c r="E102" s="10">
        <f>Params!$E$10-(Params!$D$10/Params!$B$4)*(A102/1000)</f>
        <v/>
      </c>
      <c r="F102" s="13" t="inlineStr">
        <is>
          <t>⚠ 외삽 (측정 밖)</t>
        </is>
      </c>
    </row>
    <row r="103">
      <c r="A103" s="7" t="n">
        <v>2.97</v>
      </c>
      <c r="B103" s="12">
        <f>1000/A103</f>
        <v/>
      </c>
      <c r="C103" s="10">
        <f>Params!$E$8-(Params!$D$8/Params!$B$4)*(A103/1000)</f>
        <v/>
      </c>
      <c r="D103" s="10">
        <f>Params!$E$9-(Params!$D$9/Params!$B$4)*(A103/1000)</f>
        <v/>
      </c>
      <c r="E103" s="10">
        <f>Params!$E$10-(Params!$D$10/Params!$B$4)*(A103/1000)</f>
        <v/>
      </c>
      <c r="F103" s="13" t="inlineStr">
        <is>
          <t>⚠ 외삽 (측정 밖)</t>
        </is>
      </c>
    </row>
    <row r="104">
      <c r="A104" s="7" t="n">
        <v>2.99</v>
      </c>
      <c r="B104" s="12">
        <f>1000/A104</f>
        <v/>
      </c>
      <c r="C104" s="10">
        <f>Params!$E$8-(Params!$D$8/Params!$B$4)*(A104/1000)</f>
        <v/>
      </c>
      <c r="D104" s="10">
        <f>Params!$E$9-(Params!$D$9/Params!$B$4)*(A104/1000)</f>
        <v/>
      </c>
      <c r="E104" s="10">
        <f>Params!$E$10-(Params!$D$10/Params!$B$4)*(A104/1000)</f>
        <v/>
      </c>
      <c r="F104" s="13" t="inlineStr">
        <is>
          <t>⚠ 외삽 (측정 밖)</t>
        </is>
      </c>
    </row>
    <row r="105">
      <c r="A105" s="7" t="n">
        <v>3.01</v>
      </c>
      <c r="B105" s="12">
        <f>1000/A105</f>
        <v/>
      </c>
      <c r="C105" s="10">
        <f>Params!$E$8-(Params!$D$8/Params!$B$4)*(A105/1000)</f>
        <v/>
      </c>
      <c r="D105" s="10">
        <f>Params!$E$9-(Params!$D$9/Params!$B$4)*(A105/1000)</f>
        <v/>
      </c>
      <c r="E105" s="10">
        <f>Params!$E$10-(Params!$D$10/Params!$B$4)*(A105/1000)</f>
        <v/>
      </c>
      <c r="F105" s="13" t="inlineStr">
        <is>
          <t>⚠ 외삽 (측정 밖)</t>
        </is>
      </c>
    </row>
    <row r="106">
      <c r="A106" s="7" t="n">
        <v>3.03</v>
      </c>
      <c r="B106" s="12">
        <f>1000/A106</f>
        <v/>
      </c>
      <c r="C106" s="10">
        <f>Params!$E$8-(Params!$D$8/Params!$B$4)*(A106/1000)</f>
        <v/>
      </c>
      <c r="D106" s="10">
        <f>Params!$E$9-(Params!$D$9/Params!$B$4)*(A106/1000)</f>
        <v/>
      </c>
      <c r="E106" s="10">
        <f>Params!$E$10-(Params!$D$10/Params!$B$4)*(A106/1000)</f>
        <v/>
      </c>
      <c r="F106" s="13" t="inlineStr">
        <is>
          <t>⚠ 외삽 (측정 밖)</t>
        </is>
      </c>
    </row>
    <row r="107">
      <c r="A107" s="7" t="n">
        <v>3.05</v>
      </c>
      <c r="B107" s="12">
        <f>1000/A107</f>
        <v/>
      </c>
      <c r="C107" s="10">
        <f>Params!$E$8-(Params!$D$8/Params!$B$4)*(A107/1000)</f>
        <v/>
      </c>
      <c r="D107" s="10">
        <f>Params!$E$9-(Params!$D$9/Params!$B$4)*(A107/1000)</f>
        <v/>
      </c>
      <c r="E107" s="10">
        <f>Params!$E$10-(Params!$D$10/Params!$B$4)*(A107/1000)</f>
        <v/>
      </c>
      <c r="F107" s="13" t="inlineStr">
        <is>
          <t>⚠ 외삽 (측정 밖)</t>
        </is>
      </c>
    </row>
    <row r="108">
      <c r="A108" s="7" t="n">
        <v>3.07</v>
      </c>
      <c r="B108" s="12">
        <f>1000/A108</f>
        <v/>
      </c>
      <c r="C108" s="10">
        <f>Params!$E$8-(Params!$D$8/Params!$B$4)*(A108/1000)</f>
        <v/>
      </c>
      <c r="D108" s="10">
        <f>Params!$E$9-(Params!$D$9/Params!$B$4)*(A108/1000)</f>
        <v/>
      </c>
      <c r="E108" s="10">
        <f>Params!$E$10-(Params!$D$10/Params!$B$4)*(A108/1000)</f>
        <v/>
      </c>
      <c r="F108" s="13" t="inlineStr">
        <is>
          <t>⚠ 외삽 (측정 밖)</t>
        </is>
      </c>
    </row>
    <row r="109">
      <c r="A109" s="7" t="n">
        <v>3.09</v>
      </c>
      <c r="B109" s="12">
        <f>1000/A109</f>
        <v/>
      </c>
      <c r="C109" s="10">
        <f>Params!$E$8-(Params!$D$8/Params!$B$4)*(A109/1000)</f>
        <v/>
      </c>
      <c r="D109" s="10">
        <f>Params!$E$9-(Params!$D$9/Params!$B$4)*(A109/1000)</f>
        <v/>
      </c>
      <c r="E109" s="10">
        <f>Params!$E$10-(Params!$D$10/Params!$B$4)*(A109/1000)</f>
        <v/>
      </c>
      <c r="F109" s="13" t="inlineStr">
        <is>
          <t>⚠ 외삽 (측정 밖)</t>
        </is>
      </c>
    </row>
    <row r="110">
      <c r="A110" s="7" t="n">
        <v>3.11</v>
      </c>
      <c r="B110" s="12">
        <f>1000/A110</f>
        <v/>
      </c>
      <c r="C110" s="10">
        <f>Params!$E$8-(Params!$D$8/Params!$B$4)*(A110/1000)</f>
        <v/>
      </c>
      <c r="D110" s="10">
        <f>Params!$E$9-(Params!$D$9/Params!$B$4)*(A110/1000)</f>
        <v/>
      </c>
      <c r="E110" s="10">
        <f>Params!$E$10-(Params!$D$10/Params!$B$4)*(A110/1000)</f>
        <v/>
      </c>
      <c r="F110" s="13" t="inlineStr">
        <is>
          <t>⚠ 외삽 (측정 밖)</t>
        </is>
      </c>
    </row>
    <row r="111">
      <c r="A111" s="7" t="n">
        <v>3.13</v>
      </c>
      <c r="B111" s="12">
        <f>1000/A111</f>
        <v/>
      </c>
      <c r="C111" s="10">
        <f>Params!$E$8-(Params!$D$8/Params!$B$4)*(A111/1000)</f>
        <v/>
      </c>
      <c r="D111" s="10">
        <f>Params!$E$9-(Params!$D$9/Params!$B$4)*(A111/1000)</f>
        <v/>
      </c>
      <c r="E111" s="10">
        <f>Params!$E$10-(Params!$D$10/Params!$B$4)*(A111/1000)</f>
        <v/>
      </c>
      <c r="F111" s="13" t="inlineStr">
        <is>
          <t>⚠ 외삽 (측정 밖)</t>
        </is>
      </c>
    </row>
    <row r="112">
      <c r="A112" s="7" t="n">
        <v>3.15</v>
      </c>
      <c r="B112" s="12">
        <f>1000/A112</f>
        <v/>
      </c>
      <c r="C112" s="10">
        <f>Params!$E$8-(Params!$D$8/Params!$B$4)*(A112/1000)</f>
        <v/>
      </c>
      <c r="D112" s="10">
        <f>Params!$E$9-(Params!$D$9/Params!$B$4)*(A112/1000)</f>
        <v/>
      </c>
      <c r="E112" s="10">
        <f>Params!$E$10-(Params!$D$10/Params!$B$4)*(A112/1000)</f>
        <v/>
      </c>
      <c r="F112" s="13" t="inlineStr">
        <is>
          <t>⚠ 외삽 (측정 밖)</t>
        </is>
      </c>
    </row>
    <row r="113">
      <c r="A113" s="7" t="n">
        <v>3.17</v>
      </c>
      <c r="B113" s="12">
        <f>1000/A113</f>
        <v/>
      </c>
      <c r="C113" s="10">
        <f>Params!$E$8-(Params!$D$8/Params!$B$4)*(A113/1000)</f>
        <v/>
      </c>
      <c r="D113" s="10">
        <f>Params!$E$9-(Params!$D$9/Params!$B$4)*(A113/1000)</f>
        <v/>
      </c>
      <c r="E113" s="10">
        <f>Params!$E$10-(Params!$D$10/Params!$B$4)*(A113/1000)</f>
        <v/>
      </c>
      <c r="F113" s="13" t="inlineStr">
        <is>
          <t>⚠ 외삽 (측정 밖)</t>
        </is>
      </c>
    </row>
    <row r="114">
      <c r="A114" s="7" t="n">
        <v>3.19</v>
      </c>
      <c r="B114" s="12">
        <f>1000/A114</f>
        <v/>
      </c>
      <c r="C114" s="10">
        <f>Params!$E$8-(Params!$D$8/Params!$B$4)*(A114/1000)</f>
        <v/>
      </c>
      <c r="D114" s="10">
        <f>Params!$E$9-(Params!$D$9/Params!$B$4)*(A114/1000)</f>
        <v/>
      </c>
      <c r="E114" s="10">
        <f>Params!$E$10-(Params!$D$10/Params!$B$4)*(A114/1000)</f>
        <v/>
      </c>
      <c r="F114" s="13" t="inlineStr">
        <is>
          <t>⚠ 외삽 (측정 밖)</t>
        </is>
      </c>
    </row>
    <row r="115">
      <c r="A115" s="7" t="n">
        <v>3.21</v>
      </c>
      <c r="B115" s="12">
        <f>1000/A115</f>
        <v/>
      </c>
      <c r="C115" s="10">
        <f>Params!$E$8-(Params!$D$8/Params!$B$4)*(A115/1000)</f>
        <v/>
      </c>
      <c r="D115" s="10">
        <f>Params!$E$9-(Params!$D$9/Params!$B$4)*(A115/1000)</f>
        <v/>
      </c>
      <c r="E115" s="10">
        <f>Params!$E$10-(Params!$D$10/Params!$B$4)*(A115/1000)</f>
        <v/>
      </c>
      <c r="F115" s="13" t="inlineStr">
        <is>
          <t>⚠ 외삽 (측정 밖)</t>
        </is>
      </c>
    </row>
    <row r="116">
      <c r="A116" s="7" t="n">
        <v>3.23</v>
      </c>
      <c r="B116" s="12">
        <f>1000/A116</f>
        <v/>
      </c>
      <c r="C116" s="10">
        <f>Params!$E$8-(Params!$D$8/Params!$B$4)*(A116/1000)</f>
        <v/>
      </c>
      <c r="D116" s="10">
        <f>Params!$E$9-(Params!$D$9/Params!$B$4)*(A116/1000)</f>
        <v/>
      </c>
      <c r="E116" s="10">
        <f>Params!$E$10-(Params!$D$10/Params!$B$4)*(A116/1000)</f>
        <v/>
      </c>
      <c r="F116" s="13" t="inlineStr">
        <is>
          <t>⚠ 외삽 (측정 밖)</t>
        </is>
      </c>
    </row>
    <row r="117">
      <c r="A117" s="7" t="n">
        <v>3.25</v>
      </c>
      <c r="B117" s="12">
        <f>1000/A117</f>
        <v/>
      </c>
      <c r="C117" s="10">
        <f>Params!$E$8-(Params!$D$8/Params!$B$4)*(A117/1000)</f>
        <v/>
      </c>
      <c r="D117" s="10">
        <f>Params!$E$9-(Params!$D$9/Params!$B$4)*(A117/1000)</f>
        <v/>
      </c>
      <c r="E117" s="10">
        <f>Params!$E$10-(Params!$D$10/Params!$B$4)*(A117/1000)</f>
        <v/>
      </c>
      <c r="F117" s="13" t="inlineStr">
        <is>
          <t>⚠ 외삽 (측정 밖)</t>
        </is>
      </c>
    </row>
    <row r="118">
      <c r="A118" s="7" t="n">
        <v>3.27</v>
      </c>
      <c r="B118" s="12">
        <f>1000/A118</f>
        <v/>
      </c>
      <c r="C118" s="10">
        <f>Params!$E$8-(Params!$D$8/Params!$B$4)*(A118/1000)</f>
        <v/>
      </c>
      <c r="D118" s="10">
        <f>Params!$E$9-(Params!$D$9/Params!$B$4)*(A118/1000)</f>
        <v/>
      </c>
      <c r="E118" s="10">
        <f>Params!$E$10-(Params!$D$10/Params!$B$4)*(A118/1000)</f>
        <v/>
      </c>
      <c r="F118" s="13" t="inlineStr">
        <is>
          <t>⚠ 외삽 (측정 밖)</t>
        </is>
      </c>
    </row>
    <row r="119">
      <c r="A119" s="7" t="n">
        <v>3.29</v>
      </c>
      <c r="B119" s="12">
        <f>1000/A119</f>
        <v/>
      </c>
      <c r="C119" s="10">
        <f>Params!$E$8-(Params!$D$8/Params!$B$4)*(A119/1000)</f>
        <v/>
      </c>
      <c r="D119" s="10">
        <f>Params!$E$9-(Params!$D$9/Params!$B$4)*(A119/1000)</f>
        <v/>
      </c>
      <c r="E119" s="10">
        <f>Params!$E$10-(Params!$D$10/Params!$B$4)*(A119/1000)</f>
        <v/>
      </c>
      <c r="F119" s="13" t="inlineStr">
        <is>
          <t>⚠ 외삽 (측정 밖)</t>
        </is>
      </c>
    </row>
    <row r="120">
      <c r="A120" s="7" t="n">
        <v>3.31</v>
      </c>
      <c r="B120" s="12">
        <f>1000/A120</f>
        <v/>
      </c>
      <c r="C120" s="10">
        <f>Params!$E$8-(Params!$D$8/Params!$B$4)*(A120/1000)</f>
        <v/>
      </c>
      <c r="D120" s="10">
        <f>Params!$E$9-(Params!$D$9/Params!$B$4)*(A120/1000)</f>
        <v/>
      </c>
      <c r="E120" s="10">
        <f>Params!$E$10-(Params!$D$10/Params!$B$4)*(A120/1000)</f>
        <v/>
      </c>
      <c r="F120" s="13" t="inlineStr">
        <is>
          <t>⚠ 외삽 (측정 밖)</t>
        </is>
      </c>
    </row>
    <row r="121">
      <c r="A121" s="7" t="n">
        <v>3.33</v>
      </c>
      <c r="B121" s="12">
        <f>1000/A121</f>
        <v/>
      </c>
      <c r="C121" s="10">
        <f>Params!$E$8-(Params!$D$8/Params!$B$4)*(A121/1000)</f>
        <v/>
      </c>
      <c r="D121" s="10">
        <f>Params!$E$9-(Params!$D$9/Params!$B$4)*(A121/1000)</f>
        <v/>
      </c>
      <c r="E121" s="10">
        <f>Params!$E$10-(Params!$D$10/Params!$B$4)*(A121/1000)</f>
        <v/>
      </c>
      <c r="F121" s="13" t="inlineStr">
        <is>
          <t>⚠ 외삽 (측정 밖)</t>
        </is>
      </c>
    </row>
    <row r="123">
      <c r="A123" s="4" t="inlineStr">
        <is>
          <t>측정 구간은 1000/T = 1.00~1.67 (600~1000 K) 입니다. 그 밖은 '⚠ 외삽' 으로 표시했습니다 — 그림에서는 실선/점선을 나눠 그려 주세요.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5" customWidth="1" min="4" max="4"/>
    <col width="17" customWidth="1" min="5" max="5"/>
    <col width="12" customWidth="1" min="6" max="6"/>
    <col width="12" customWidth="1" min="7" max="7"/>
    <col width="9" customWidth="1" min="8" max="8"/>
    <col width="22" customWidth="1" min="9" max="9"/>
  </cols>
  <sheetData>
    <row r="1">
      <c r="A1" s="14" t="inlineStr">
        <is>
          <t>300 K 외삽 — 우리 적합선을 그대로 연장한 값 (1저자 요청 2026-09-07)</t>
        </is>
      </c>
    </row>
    <row r="2">
      <c r="A2" s="4" t="inlineStr">
        <is>
          <t>⚠ 이 시트의 값은 **측정 밖**입니다. 적합 구간(1000/T 1.00~1.67)의 끝점에서 2배 지점(3.33)까지 늘린 것이고, 아래 밴드는 Ea 오차막대(±1σ)만 반영한 것입니다 — 그것만으로도 6~14배 벌어집니다.</t>
        </is>
      </c>
    </row>
    <row r="3">
      <c r="A3" s="4" t="inlineStr">
        <is>
          <t>⛔ 논문·발표 인용 불가. 내부 비교·감각용으로만 쓰세요. 사유는 READ_ME 시트.</t>
        </is>
      </c>
    </row>
    <row r="5">
      <c r="A5" s="5" t="inlineStr">
        <is>
          <t>system</t>
        </is>
      </c>
      <c r="B5" s="5" t="inlineStr">
        <is>
          <t>Ea_fit_eV</t>
        </is>
      </c>
      <c r="C5" s="5" t="inlineStr">
        <is>
          <t>Ea_err_eV</t>
        </is>
      </c>
      <c r="D5" s="5" t="inlineStr">
        <is>
          <t>D(300K)_cm2_s</t>
        </is>
      </c>
      <c r="E5" s="5" t="inlineStr">
        <is>
          <t>sigma(300K)_mS/cm</t>
        </is>
      </c>
      <c r="F5" s="5" t="inlineStr">
        <is>
          <t>sigma −1σ</t>
        </is>
      </c>
      <c r="G5" s="5" t="inlineStr">
        <is>
          <t>sigma +1σ</t>
        </is>
      </c>
      <c r="H5" s="5" t="inlineStr">
        <is>
          <t>배율폭</t>
        </is>
      </c>
      <c r="I5" s="5" t="inlineStr">
        <is>
          <t>status</t>
        </is>
      </c>
    </row>
    <row r="6">
      <c r="A6" s="6" t="inlineStr">
        <is>
          <t>LPSCl1.6</t>
        </is>
      </c>
      <c r="B6" s="10">
        <f>Params!$D$8</f>
        <v/>
      </c>
      <c r="C6" s="15">
        <f>Params!$C$8</f>
        <v/>
      </c>
      <c r="D6" s="16">
        <f>Params!$F$8*EXP(-B6/(Params!$B$4*Params!$B$5))</f>
        <v/>
      </c>
      <c r="E6" s="17">
        <f>1000*Params!$H$8*Params!$B$2^2*D6/(Params!$B$3*Params!$B$5)</f>
        <v/>
      </c>
      <c r="F6" s="17">
        <f>1000*Params!$H$8*Params!$B$2^2*(Params!$F$8*EXP(-(B6+C6)/(Params!$B$4*Params!$B$5)))/(Params!$B$3*Params!$B$5)</f>
        <v/>
      </c>
      <c r="G6" s="17">
        <f>1000*Params!$H$8*Params!$B$2^2*(Params!$F$8*EXP(-(B6-C6)/(Params!$B$4*Params!$B$5)))/(Params!$B$3*Params!$B$5)</f>
        <v/>
      </c>
      <c r="H6" s="18">
        <f>G6/F6</f>
        <v/>
      </c>
      <c r="I6" s="6" t="inlineStr">
        <is>
          <t>baseline</t>
        </is>
      </c>
    </row>
    <row r="7">
      <c r="A7" s="6" t="inlineStr">
        <is>
          <t>LPSOCl1.6</t>
        </is>
      </c>
      <c r="B7" s="10">
        <f>Params!$D$9</f>
        <v/>
      </c>
      <c r="C7" s="15">
        <f>Params!$C$9</f>
        <v/>
      </c>
      <c r="D7" s="16">
        <f>Params!$F$9*EXP(-B7/(Params!$B$4*Params!$B$5))</f>
        <v/>
      </c>
      <c r="E7" s="17">
        <f>1000*Params!$H$9*Params!$B$2^2*D7/(Params!$B$3*Params!$B$5)</f>
        <v/>
      </c>
      <c r="F7" s="17">
        <f>1000*Params!$H$9*Params!$B$2^2*(Params!$F$9*EXP(-(B7+C7)/(Params!$B$4*Params!$B$5)))/(Params!$B$3*Params!$B$5)</f>
        <v/>
      </c>
      <c r="G7" s="17">
        <f>1000*Params!$H$9*Params!$B$2^2*(Params!$F$9*EXP(-(B7-C7)/(Params!$B$4*Params!$B$5)))/(Params!$B$3*Params!$B$5)</f>
        <v/>
      </c>
      <c r="H7" s="18">
        <f>G7/F7</f>
        <v/>
      </c>
      <c r="I7" s="6" t="inlineStr">
        <is>
          <t>baseline</t>
        </is>
      </c>
    </row>
    <row r="8">
      <c r="A8" s="6" t="inlineStr">
        <is>
          <t>B2O3@LPSCl1.6</t>
        </is>
      </c>
      <c r="B8" s="10">
        <f>Params!$D$10</f>
        <v/>
      </c>
      <c r="C8" s="15">
        <f>Params!$C$10</f>
        <v/>
      </c>
      <c r="D8" s="16">
        <f>Params!$F$10*EXP(-B8/(Params!$B$4*Params!$B$5))</f>
        <v/>
      </c>
      <c r="E8" s="17">
        <f>1000*Params!$H$10*Params!$B$2^2*D8/(Params!$B$3*Params!$B$5)</f>
        <v/>
      </c>
      <c r="F8" s="17">
        <f>1000*Params!$H$10*Params!$B$2^2*(Params!$F$10*EXP(-(B8+C8)/(Params!$B$4*Params!$B$5)))/(Params!$B$3*Params!$B$5)</f>
        <v/>
      </c>
      <c r="G8" s="17">
        <f>1000*Params!$H$10*Params!$B$2^2*(Params!$F$10*EXP(-(B8-C8)/(Params!$B$4*Params!$B$5)))/(Params!$B$3*Params!$B$5)</f>
        <v/>
      </c>
      <c r="H8" s="18">
        <f>G8/F8</f>
        <v/>
      </c>
      <c r="I8" s="13" t="inlineStr">
        <is>
          <t>RETRACTED 2026-08-25</t>
        </is>
      </c>
    </row>
    <row r="10">
      <c r="A10" s="2" t="inlineStr"/>
    </row>
    <row r="11">
      <c r="A11" s="3" t="inlineStr">
        <is>
          <t>■ 이 값을 읽을 때 같이 기억할 것</t>
        </is>
      </c>
    </row>
    <row r="12">
      <c r="A12" s="4" t="inlineStr">
        <is>
          <t>1) B2O3 는 직선이 아닙니다 — 600→800 구간 Ea 0.151 eV, 800→1000 구간 0.294 eV (145 meV 차).</t>
        </is>
      </c>
    </row>
    <row r="13">
      <c r="A13" s="4" t="inlineStr">
        <is>
          <t xml:space="preserve">   굽은 선을 300 K 까지 늘린 값이라 위 밴드보다도 더 불확실합니다. 이 축은 2026-08-25 철회됐습니다.</t>
        </is>
      </c>
    </row>
    <row r="14">
      <c r="A14" s="4" t="inlineStr">
        <is>
          <t>2) sigma 는 Nernst-Einstein (Haven=1) **상한**입니다 — 실제 이온전도도는 이보다 작습니다.</t>
        </is>
      </c>
    </row>
    <row r="15">
      <c r="A15" s="4" t="inlineStr">
        <is>
          <t>3) MD 는 NVT(부피 고정)라 열팽창이 없습니다. 300 K 의 실제 격자는 이 셀과 다릅니다.</t>
        </is>
      </c>
    </row>
    <row r="16">
      <c r="A16" s="4" t="inlineStr">
        <is>
          <t>4) 밴드는 Ea 오차만 반영합니다 — D0 불확실도·곡률·프로토콜 편향은 안 들어가 있습니다 (즉 실제는 더 넓습니다).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4" customWidth="1" min="4" max="4"/>
    <col width="11" customWidth="1" min="5" max="5"/>
    <col width="13" customWidth="1" min="6" max="6"/>
    <col width="9" customWidth="1" min="7" max="7"/>
    <col width="13" customWidth="1" min="8" max="8"/>
    <col width="22" customWidth="1" min="9" max="9"/>
  </cols>
  <sheetData>
    <row r="1">
      <c r="A1" s="3" t="inlineStr">
        <is>
          <t>물리상수 (파란 글씨 = 고정 입력, 검정 = 수식)</t>
        </is>
      </c>
    </row>
    <row r="2">
      <c r="A2" s="2" t="inlineStr">
        <is>
          <t>e  [C]</t>
        </is>
      </c>
      <c r="B2" s="19" t="n">
        <v>1.602176634e-19</v>
      </c>
    </row>
    <row r="3">
      <c r="A3" s="2" t="inlineStr">
        <is>
          <t>k_B  [J/K]</t>
        </is>
      </c>
      <c r="B3" s="19" t="n">
        <v>1.380649e-23</v>
      </c>
    </row>
    <row r="4">
      <c r="A4" s="2" t="inlineStr">
        <is>
          <t>k_B  [eV/K]</t>
        </is>
      </c>
      <c r="B4" s="19" t="n">
        <v>8.617333262e-05</v>
      </c>
    </row>
    <row r="5">
      <c r="A5" s="2" t="inlineStr">
        <is>
          <t>T_RT [K]</t>
        </is>
      </c>
      <c r="B5" s="20" t="n">
        <v>300</v>
      </c>
    </row>
    <row r="7">
      <c r="A7" s="5" t="inlineStr">
        <is>
          <t>system</t>
        </is>
      </c>
      <c r="B7" s="5" t="inlineStr">
        <is>
          <t>Ea_ledger_eV</t>
        </is>
      </c>
      <c r="C7" s="5" t="inlineStr">
        <is>
          <t>Ea_err_eV</t>
        </is>
      </c>
      <c r="D7" s="5" t="inlineStr">
        <is>
          <t>Ea_fit_eV
(이 3점 적합)</t>
        </is>
      </c>
      <c r="E7" s="5" t="inlineStr">
        <is>
          <t>lnD0</t>
        </is>
      </c>
      <c r="F7" s="5" t="inlineStr">
        <is>
          <t>D0_cm2_s</t>
        </is>
      </c>
      <c r="G7" s="5" t="inlineStr">
        <is>
          <t>R2</t>
        </is>
      </c>
      <c r="H7" s="5" t="inlineStr">
        <is>
          <t>n_Li_cm-3</t>
        </is>
      </c>
      <c r="I7" s="5" t="inlineStr">
        <is>
          <t>status</t>
        </is>
      </c>
    </row>
    <row r="8">
      <c r="A8" s="6" t="inlineStr">
        <is>
          <t>LPSCl1.6</t>
        </is>
      </c>
      <c r="B8" s="7" t="n">
        <v>0.197</v>
      </c>
      <c r="C8" s="7" t="n">
        <v>0.032</v>
      </c>
      <c r="D8" s="7" t="n">
        <v>0.197397</v>
      </c>
      <c r="E8" s="7" t="n">
        <v>-7.643831</v>
      </c>
      <c r="F8" s="16">
        <f>EXP(E8)</f>
        <v/>
      </c>
      <c r="G8" s="6" t="n">
        <v>0.99796</v>
      </c>
      <c r="H8" s="11" t="n">
        <v>2.22e+22</v>
      </c>
      <c r="I8" s="6" t="inlineStr">
        <is>
          <t>baseline</t>
        </is>
      </c>
    </row>
    <row r="9">
      <c r="A9" s="6" t="inlineStr">
        <is>
          <t>LPSOCl1.6</t>
        </is>
      </c>
      <c r="B9" s="7" t="n">
        <v>0.287</v>
      </c>
      <c r="C9" s="7" t="n">
        <v>0.024</v>
      </c>
      <c r="D9" s="7" t="n">
        <v>0.284846</v>
      </c>
      <c r="E9" s="7" t="n">
        <v>-6.478222</v>
      </c>
      <c r="F9" s="16">
        <f>EXP(E9)</f>
        <v/>
      </c>
      <c r="G9" s="6" t="n">
        <v>0.99974</v>
      </c>
      <c r="H9" s="11" t="n">
        <v>2.242e+22</v>
      </c>
      <c r="I9" s="6" t="inlineStr">
        <is>
          <t>baseline</t>
        </is>
      </c>
    </row>
    <row r="10">
      <c r="A10" s="6" t="inlineStr">
        <is>
          <t>B2O3@LPSCl1.6</t>
        </is>
      </c>
      <c r="B10" s="7" t="n">
        <v>0.199</v>
      </c>
      <c r="C10" s="7" t="n">
        <v>0.034</v>
      </c>
      <c r="D10" s="7" t="n">
        <v>0.199443</v>
      </c>
      <c r="E10" s="7" t="n">
        <v>-7.678907</v>
      </c>
      <c r="F10" s="16">
        <f>EXP(E10)</f>
        <v/>
      </c>
      <c r="G10" s="6" t="n">
        <v>0.96507</v>
      </c>
      <c r="H10" s="11" t="n">
        <v>2.381e+22</v>
      </c>
      <c r="I10" s="13" t="inlineStr">
        <is>
          <t>RETRACTED 2026-08-25</t>
        </is>
      </c>
    </row>
    <row r="12">
      <c r="A12" s="21" t="inlineStr">
        <is>
          <t>⚠ Ea_ledger 와 Ea_fit 이 최대 2.2 meV 다릅니다. 원장값은 시드별 적합의 평균이고, 여기 적합은 시드평균 D 3점의 최소제곱선입니다(Jensen). 그림의 선은 Ea_fit 쪽입니다.</t>
        </is>
      </c>
    </row>
    <row r="13">
      <c r="A13" s="21" t="inlineStr">
        <is>
          <t>⚠ Ea_err 는 600 K 멀티시드 산포입니다 — 평균의 신뢰구간이 아니라 run-to-run 변동입니다.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2026-09-07T12:51:54Z</dcterms:created>
  <dcterms:modified xmlns:dcterms="http://purl.org/dc/terms/" xmlns:xsi="http://www.w3.org/2001/XMLSchema-instance" xsi:type="dcterms:W3CDTF">2026-09-07T12:51:54Z</dcterms:modified>
</cp:coreProperties>
</file>